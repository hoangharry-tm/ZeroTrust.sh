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hoangharry/mh_code/internships/VNG_ZingPlayStudio/ZeroTrust.sh/docs/"/>
    </mc:Choice>
  </mc:AlternateContent>
  <xr:revisionPtr revIDLastSave="0" documentId="8_{D9A729DE-4F57-F64A-9DB3-6683353CE53A}" xr6:coauthVersionLast="47" xr6:coauthVersionMax="47" xr10:uidLastSave="{00000000-0000-0000-0000-000000000000}"/>
  <bookViews>
    <workbookView xWindow="0" yWindow="660" windowWidth="30240" windowHeight="18980" xr2:uid="{00000000-000D-0000-FFFF-FFFF00000000}"/>
  </bookViews>
  <sheets>
    <sheet name="Dashboard" sheetId="1" r:id="rId1"/>
    <sheet name="G1 - Foundation" sheetId="2" r:id="rId2"/>
    <sheet name="G2 - Path A" sheetId="3" r:id="rId3"/>
    <sheet name="G3 - Path B" sheetId="4" r:id="rId4"/>
    <sheet name="G4 - Integration" sheetId="8" r:id="rId5"/>
    <sheet name="Research" sheetId="5" r:id="rId6"/>
    <sheet name="Research Papers" sheetId="7" r:id="rId7"/>
  </sheets>
  <externalReferences>
    <externalReference r:id="rId8"/>
  </externalReferences>
  <definedNames>
    <definedName name="_xlnm._FilterDatabase" localSheetId="6" hidden="1">'Research Papers'!$A$4:$K$90</definedName>
    <definedName name="_xlnm.Print_Area" localSheetId="0">Dashboard!$B$2:$L$59</definedName>
    <definedName name="_xlnm.Print_Area" localSheetId="1">'G1 - Foundation'!$A$1:$K$54</definedName>
    <definedName name="_xlnm.Print_Area" localSheetId="2">'G2 - Path A'!$A$1:$K$48</definedName>
    <definedName name="_xlnm.Print_Area" localSheetId="3">'G3 - Path B'!$A$1:$K$41</definedName>
    <definedName name="_xlnm.Print_Area" localSheetId="5">Research!$A$1:$K$39</definedName>
    <definedName name="_xlnm.Print_Area" localSheetId="6">'Research Papers'!$A$1:$K$90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1" l="1"/>
  <c r="F17" i="1"/>
  <c r="F16" i="1"/>
  <c r="F15" i="1"/>
  <c r="F14" i="1"/>
  <c r="E18" i="1"/>
  <c r="E17" i="1"/>
  <c r="E16" i="1"/>
  <c r="E15" i="1"/>
  <c r="E14" i="1"/>
  <c r="D15" i="1"/>
  <c r="D16" i="1"/>
  <c r="D17" i="1"/>
  <c r="D18" i="1"/>
  <c r="D14" i="1"/>
  <c r="C14" i="1"/>
  <c r="D9" i="1"/>
  <c r="C9" i="1"/>
  <c r="B9" i="1"/>
  <c r="E9" i="1"/>
  <c r="F19" i="1" l="1"/>
  <c r="E19" i="1"/>
  <c r="D19" i="1"/>
  <c r="F9" i="1"/>
</calcChain>
</file>

<file path=xl/sharedStrings.xml><?xml version="1.0" encoding="utf-8"?>
<sst xmlns="http://schemas.openxmlformats.org/spreadsheetml/2006/main" count="2007" uniqueCount="1048">
  <si>
    <t>⬡  ZeroTrust.sh  ·  Internship Executive Dashboard</t>
  </si>
  <si>
    <t>▐  KEY PERFORMANCE INDICATORS</t>
  </si>
  <si>
    <t>📋 Total Tasks</t>
  </si>
  <si>
    <t>✅ Complete</t>
  </si>
  <si>
    <t>🔄 In Progress</t>
  </si>
  <si>
    <t>⏰ Days Left</t>
  </si>
  <si>
    <t>📈 % Complete</t>
  </si>
  <si>
    <t>Goal</t>
  </si>
  <si>
    <t>Scientific Research</t>
  </si>
  <si>
    <t>Milestone</t>
  </si>
  <si>
    <t>Status</t>
  </si>
  <si>
    <t>PERT E (h)</t>
  </si>
  <si>
    <t>2026-06-20</t>
  </si>
  <si>
    <t>In Progress</t>
  </si>
  <si>
    <t>2026-07-28</t>
  </si>
  <si>
    <t>Not Started</t>
  </si>
  <si>
    <t>2026-08-01</t>
  </si>
  <si>
    <t>TOTAL</t>
  </si>
  <si>
    <t>Complete</t>
  </si>
  <si>
    <t>ID</t>
  </si>
  <si>
    <t>1.M2</t>
  </si>
  <si>
    <t>2026-06-11</t>
  </si>
  <si>
    <t>1.M3</t>
  </si>
  <si>
    <t>1.M4</t>
  </si>
  <si>
    <t>2026-06-16</t>
  </si>
  <si>
    <t>R.M1</t>
  </si>
  <si>
    <t>Literature Foundation</t>
  </si>
  <si>
    <t>2026-06-09</t>
  </si>
  <si>
    <t>2026-06-23</t>
  </si>
  <si>
    <t>2026-07-21</t>
  </si>
  <si>
    <t>Architecture Justification Document</t>
  </si>
  <si>
    <t>Start Date</t>
  </si>
  <si>
    <t>End Date</t>
  </si>
  <si>
    <t>PERT O (h)</t>
  </si>
  <si>
    <t>PERT ML (h)</t>
  </si>
  <si>
    <t>PERT P (h)</t>
  </si>
  <si>
    <t>Actual Hrs</t>
  </si>
  <si>
    <t>Notes</t>
  </si>
  <si>
    <t>1.M1</t>
  </si>
  <si>
    <t>1.M1.T1</t>
  </si>
  <si>
    <t>1.M1.T2</t>
  </si>
  <si>
    <t>1.M1.T3</t>
  </si>
  <si>
    <t>1.M1.T4</t>
  </si>
  <si>
    <t>1.M2.T1</t>
  </si>
  <si>
    <t>1.M2.T2</t>
  </si>
  <si>
    <t>1.M2.T3</t>
  </si>
  <si>
    <t>1.M2.T4</t>
  </si>
  <si>
    <t>1.M2.T5</t>
  </si>
  <si>
    <t>1.M2.T6</t>
  </si>
  <si>
    <t>1.M2.T7</t>
  </si>
  <si>
    <t>1.M3.T1</t>
  </si>
  <si>
    <t>1.M3.T2</t>
  </si>
  <si>
    <t>1.M3.T3</t>
  </si>
  <si>
    <t>1.M3.T4</t>
  </si>
  <si>
    <t>1.M3.T5</t>
  </si>
  <si>
    <t>1.M3.T6</t>
  </si>
  <si>
    <t>1.M3.T7</t>
  </si>
  <si>
    <t>1.M3.T8</t>
  </si>
  <si>
    <t>1.M3.T9</t>
  </si>
  <si>
    <t>1.M4.T1</t>
  </si>
  <si>
    <t>1.M4.T2</t>
  </si>
  <si>
    <t>1.M4.T3</t>
  </si>
  <si>
    <t>1.M4.T4</t>
  </si>
  <si>
    <t>2.M1</t>
  </si>
  <si>
    <t>2.M1.T1</t>
  </si>
  <si>
    <t>2.M1.T2</t>
  </si>
  <si>
    <t>2.M1.T3</t>
  </si>
  <si>
    <t>2.M1.T4</t>
  </si>
  <si>
    <t>2.M1.T5</t>
  </si>
  <si>
    <t>2.M2</t>
  </si>
  <si>
    <t>2026-06-25</t>
  </si>
  <si>
    <t>2026-06-27</t>
  </si>
  <si>
    <t>2.M2.T1</t>
  </si>
  <si>
    <t>2.M2.T2</t>
  </si>
  <si>
    <t>2.M2.T3</t>
  </si>
  <si>
    <t>2.M2.T4</t>
  </si>
  <si>
    <t>2.M3</t>
  </si>
  <si>
    <t>2026-06-30</t>
  </si>
  <si>
    <t>2.M3.T1</t>
  </si>
  <si>
    <t>2.M3.T2</t>
  </si>
  <si>
    <t>2.M3.T3</t>
  </si>
  <si>
    <t>2.M3.T4</t>
  </si>
  <si>
    <t>2.M3.T5</t>
  </si>
  <si>
    <t>2.M4</t>
  </si>
  <si>
    <t>2026-07-04</t>
  </si>
  <si>
    <t>2.M4.T1</t>
  </si>
  <si>
    <t>2.M4.T2</t>
  </si>
  <si>
    <t>2.M4.T3</t>
  </si>
  <si>
    <t>2026-07-07</t>
  </si>
  <si>
    <t>2026-07-11</t>
  </si>
  <si>
    <t>2026-07-14</t>
  </si>
  <si>
    <t>2026-07-16</t>
  </si>
  <si>
    <t>2026-07-25</t>
  </si>
  <si>
    <t>3.M1</t>
  </si>
  <si>
    <t>3.M1.T1</t>
  </si>
  <si>
    <t>3.M1.T2</t>
  </si>
  <si>
    <t>3.M2</t>
  </si>
  <si>
    <t>3.M2.T1</t>
  </si>
  <si>
    <t>3.M2.T2</t>
  </si>
  <si>
    <t>3.M2.T3</t>
  </si>
  <si>
    <t>3.M3</t>
  </si>
  <si>
    <t>3.M3.T1</t>
  </si>
  <si>
    <t>3.M3.T2</t>
  </si>
  <si>
    <t>3.M4</t>
  </si>
  <si>
    <t>3.M4.T1</t>
  </si>
  <si>
    <t>3.M4.T2</t>
  </si>
  <si>
    <t>3.M4.T3</t>
  </si>
  <si>
    <t>3.M4.T4</t>
  </si>
  <si>
    <t>2026-07-31</t>
  </si>
  <si>
    <t>ZeroTrust.sh  ·  Scientific Research &amp; Architecture Validation</t>
  </si>
  <si>
    <t>Intern: Ton Minh Hoang  ·  VNG ZingPlay Studio  ·  Goal: Evidence-backed architecture validation  ·  Runs Jun 9 – Aug 1</t>
  </si>
  <si>
    <t>Read and annotate all 40 catalogued papers across 7 areas. Build paper-to-architecture-component linkage map.</t>
  </si>
  <si>
    <t>R.M1.T1</t>
  </si>
  <si>
    <t>R.M1.T2</t>
  </si>
  <si>
    <t>R.M1.T3</t>
  </si>
  <si>
    <t>R.M1.T4</t>
  </si>
  <si>
    <t>R.M1.T5</t>
  </si>
  <si>
    <t>R.M2</t>
  </si>
  <si>
    <t>Architecture Validation Matrix</t>
  </si>
  <si>
    <t>R.M2.T1</t>
  </si>
  <si>
    <t xml:space="preserve">    Map Differential Indexer and all Path A sub-components to &gt;= 1 supporting paper each</t>
  </si>
  <si>
    <t>R.M2.T2</t>
  </si>
  <si>
    <t>R.M2.T3</t>
  </si>
  <si>
    <t xml:space="preserve">    Map Dedup layer and 5-tier Confidence Scoring to supporting papers</t>
  </si>
  <si>
    <t>R.M2.T4</t>
  </si>
  <si>
    <t xml:space="preserve">    Map Proof-of-Exploit Layer to supporting papers on automated vulnerability verification</t>
  </si>
  <si>
    <t>R.M2.T5</t>
  </si>
  <si>
    <t>R.M3</t>
  </si>
  <si>
    <t>Benchmark &amp; Performance Claims Verification</t>
  </si>
  <si>
    <t>R.M3.T1</t>
  </si>
  <si>
    <t>R.M3.T2</t>
  </si>
  <si>
    <t>R.M3.T3</t>
  </si>
  <si>
    <t>R.M3.T4</t>
  </si>
  <si>
    <t>R.M3.T5</t>
  </si>
  <si>
    <t xml:space="preserve">    Compile benchmarks reference table: claim text, source, confidence level, follow-up action</t>
  </si>
  <si>
    <t>R.M4</t>
  </si>
  <si>
    <t>Competitive Landscape Research</t>
  </si>
  <si>
    <t>R.M4.T1</t>
  </si>
  <si>
    <t>R.M4.T2</t>
  </si>
  <si>
    <t>R.M4.T3</t>
  </si>
  <si>
    <t>R.M4.T4</t>
  </si>
  <si>
    <t>R.M4.T5</t>
  </si>
  <si>
    <t>R.M5</t>
  </si>
  <si>
    <t>R.M5.T1</t>
  </si>
  <si>
    <t>R.M5.T2</t>
  </si>
  <si>
    <t>R.M5.T3</t>
  </si>
  <si>
    <t>R.M5.T4</t>
  </si>
  <si>
    <t>R.M5.T5</t>
  </si>
  <si>
    <t>R.M6</t>
  </si>
  <si>
    <t>Ongoing Research Monitoring</t>
  </si>
  <si>
    <t>R.M6.T1</t>
  </si>
  <si>
    <t>R.M6.T2</t>
  </si>
  <si>
    <t>R.M6.T3</t>
  </si>
  <si>
    <t>R.M6.T4</t>
  </si>
  <si>
    <t>R.M6.T5</t>
  </si>
  <si>
    <t>Category</t>
  </si>
  <si>
    <t>ZeroTrust.sh  ·  Research Paper Manager</t>
  </si>
  <si>
    <t>Smart Paper Manager  ·  Use column dropdowns (▾) to filter by Category, Tags, Read Status  ·  Click any column header to sort  ·  Write your notes in column K</t>
  </si>
  <si>
    <t>#</t>
  </si>
  <si>
    <t>Title</t>
  </si>
  <si>
    <t>Authors</t>
  </si>
  <si>
    <t>Year</t>
  </si>
  <si>
    <t>Venue</t>
  </si>
  <si>
    <t>Tags</t>
  </si>
  <si>
    <t>Read Status</t>
  </si>
  <si>
    <t>Relevance to ZeroTrust.sh</t>
  </si>
  <si>
    <t>URL</t>
  </si>
  <si>
    <t>Literature Review Notes</t>
  </si>
  <si>
    <t>Automated Vulnerability Detection in Source Code Using Deep Representation Learning</t>
  </si>
  <si>
    <t>Feng et al.</t>
  </si>
  <si>
    <t>2026</t>
  </si>
  <si>
    <t>arXiv</t>
  </si>
  <si>
    <t>ML/DL Detection</t>
  </si>
  <si>
    <t>CNN, deep representation learning, source code, vulnerability classifier</t>
  </si>
  <si>
    <t>Unread</t>
  </si>
  <si>
    <t>CNN-based deep representation learning for vulnerability detection — validates ML classifier gate in Path B Tier 2</t>
  </si>
  <si>
    <t>https://arxiv.org/abs/2602.23121</t>
  </si>
  <si>
    <t>Write your notes here…</t>
  </si>
  <si>
    <t>DiverseVul: A New Vulnerable Source Code Dataset for Deep Learning Based Vulnerability Detection</t>
  </si>
  <si>
    <t>Jia et al.</t>
  </si>
  <si>
    <t>2023</t>
  </si>
  <si>
    <t>RAID 2023 / ACM</t>
  </si>
  <si>
    <t>dataset, C/C++, CWE, BigVul alternative, training data, benchmark, 18945 functions</t>
  </si>
  <si>
    <t>Largest diverse C/C++ vulnerability dataset (18,945 functions, 150 CWEs) — training data source for Code Vulnerability Classifier</t>
  </si>
  <si>
    <t>https://arxiv.org/abs/2304.00409</t>
  </si>
  <si>
    <t>Vulnerability Detection in C/C++ Code with Deep Learning</t>
  </si>
  <si>
    <t>Multiple authors</t>
  </si>
  <si>
    <t>2024</t>
  </si>
  <si>
    <t>neural network, program slicing, C/C++, deep learning</t>
  </si>
  <si>
    <t>Neural networks with program slices for vulnerability detection — informs Tier 2 classifier design</t>
  </si>
  <si>
    <t>https://arxiv.org/abs/2405.12384</t>
  </si>
  <si>
    <t>Deep Learning Aided Software Vulnerability Detection: A Survey</t>
  </si>
  <si>
    <t>Survey authors</t>
  </si>
  <si>
    <t>2025</t>
  </si>
  <si>
    <t>survey, deep learning, vulnerability detection, baseline comparison</t>
  </si>
  <si>
    <t>Comprehensive DL survey for vulnerability detection — baseline reference for Tier 2 classifier selection</t>
  </si>
  <si>
    <t>https://arxiv.org/abs/2503.04002</t>
  </si>
  <si>
    <t>Software Vulnerability Detection Using a Lightweight Graph Neural Network (VulGNN)</t>
  </si>
  <si>
    <t>Zhu et al.</t>
  </si>
  <si>
    <t>Graph Neural Networks</t>
  </si>
  <si>
    <t>GNN, lightweight, LLM-parity, local inference, classifier, small model</t>
  </si>
  <si>
    <t>Lightweight GNN achieving LLM-parity at 100x smaller size — validates cheap local classifier concept in new architecture</t>
  </si>
  <si>
    <t>https://arxiv.org/abs/2603.29216</t>
  </si>
  <si>
    <t>Vul-LMGNNs: Fusing Language Models and Graph Neural Networks for Code Vulnerability Detection</t>
  </si>
  <si>
    <t>Rong et al.</t>
  </si>
  <si>
    <t>GNN, language model, hybrid, code representation, code LM</t>
  </si>
  <si>
    <t>Hybrid code LM + GNN — informs Call Graph + Classifier integration in Path B Tier 2</t>
  </si>
  <si>
    <t>https://arxiv.org/abs/2404.14719</t>
  </si>
  <si>
    <t>Structure-Aware Code Vulnerability Analysis With Graph Neural Networks</t>
  </si>
  <si>
    <t>Allamanis et al.</t>
  </si>
  <si>
    <t>GNN, Java, structure-aware, vulnerability fixing, commit-level</t>
  </si>
  <si>
    <t>GNN-based vulnerability analysis using Java vulnerability-fixing commits — informs structure-aware detection</t>
  </si>
  <si>
    <t>https://arxiv.org/abs/2307.11454</t>
  </si>
  <si>
    <t>Graph Neural Networks for Vulnerability Detection: A Counterfactual Explanation</t>
  </si>
  <si>
    <t>Li et al.</t>
  </si>
  <si>
    <t>GNN, explainability, counterfactual, confidence scoring, interpretability</t>
  </si>
  <si>
    <t>Explainability analysis of GNN detection — informs confidence scoring in Dedup layer</t>
  </si>
  <si>
    <t>https://arxiv.org/abs/2404.15687</t>
  </si>
  <si>
    <t>ReGVD: Revisiting Graph Neural Networks for Vulnerability Detection</t>
  </si>
  <si>
    <t>Nguyen et al.</t>
  </si>
  <si>
    <t>2022</t>
  </si>
  <si>
    <t>ACM/IEEE</t>
  </si>
  <si>
    <t>GNN, token sequence, baseline, benchmark, foundational</t>
  </si>
  <si>
    <t>Foundational GNN model treating source code as flat token sequences — baseline for Tier 2 classifier</t>
  </si>
  <si>
    <t>https://dl.acm.org/doi/abs/10.1145/3510454.3516865</t>
  </si>
  <si>
    <t>LineVD: Statement-level Vulnerability Detection using Graph Neural Networks</t>
  </si>
  <si>
    <t>Chen et al.</t>
  </si>
  <si>
    <t>GNN, statement-level, line localization, fine-grained, HTML report</t>
  </si>
  <si>
    <t>Fine-grained GNN vulnerability localization — informs line-level finding output in HTML report</t>
  </si>
  <si>
    <t>https://arxiv.org/abs/2203.05181</t>
  </si>
  <si>
    <t>LLMs in Code Vulnerability Analysis: A Proof of Concept</t>
  </si>
  <si>
    <t>Kochling et al.</t>
  </si>
  <si>
    <t>LLM Code Analysis</t>
  </si>
  <si>
    <t>LLM, empirical, proof-of-concept, zero-shot, Path B validation</t>
  </si>
  <si>
    <t>Empirical PoC for LLM vulnerability analysis — validates LLM Semantic Scan role in Path B Tier 3</t>
  </si>
  <si>
    <t>https://arxiv.org/abs/2601.08691</t>
  </si>
  <si>
    <t>IRIS: LLM-Assisted Static Analysis for Detecting Security Vulnerabilities</t>
  </si>
  <si>
    <t>Scanlon et al.</t>
  </si>
  <si>
    <t>hybrid SAST+LLM, false positive, 80% FP reduction, IRIS, key paper</t>
  </si>
  <si>
    <t>Hybrid SAST+LLM detecting 55/120 vulns + 6 new, reducing FP by 80% — directly validates ZeroTrust.sh hybrid design</t>
  </si>
  <si>
    <t>https://arxiv.org/abs/2405.17238</t>
  </si>
  <si>
    <t>Large Language Model for Vulnerability Detection and Repair: Literature Review and the Road Ahead</t>
  </si>
  <si>
    <t>Zhang et al.</t>
  </si>
  <si>
    <t>ACM TOSEM</t>
  </si>
  <si>
    <t>survey, LLM, vulnerability repair, patch generation, comprehensive review</t>
  </si>
  <si>
    <t>Comprehensive LLM vulnerability + repair survey — informs patch generation design across all approaches</t>
  </si>
  <si>
    <t>https://dl.acm.org/doi/10.1145/3708522</t>
  </si>
  <si>
    <t>Understanding the Effectiveness of LLMs in Detecting Security Vulnerabilities</t>
  </si>
  <si>
    <t>Steenhoek et al.</t>
  </si>
  <si>
    <t>LLM, prompting strategy, systematic evaluation, false positive, prompt design</t>
  </si>
  <si>
    <t>Systematic LLM evaluation with prompting strategy analysis — informs LLM Verifier prompt design in Path A</t>
  </si>
  <si>
    <t>https://arxiv.org/abs/2311.16169</t>
  </si>
  <si>
    <t>Large Language Models for Source Code Analysis: Applications, Models and Datasets</t>
  </si>
  <si>
    <t>Sharma et al.</t>
  </si>
  <si>
    <t>survey, LLM architectures, code analysis, model selection, datasets</t>
  </si>
  <si>
    <t>Survey of LLM architectures for code analysis — model selection reference for LLM components</t>
  </si>
  <si>
    <t>https://arxiv.org/abs/2503.17502</t>
  </si>
  <si>
    <t>Can Large Language Models Find And Fix Vulnerable Software?</t>
  </si>
  <si>
    <t>Pearce et al.</t>
  </si>
  <si>
    <t>LLM, detection, repair, empirical evaluation, fix generation</t>
  </si>
  <si>
    <t>Empirical evaluation of LLM detection + repair — validates dual-role LLM use in Approaches 2 and 3</t>
  </si>
  <si>
    <t>https://arxiv.org/abs/2308.10345</t>
  </si>
  <si>
    <t>LLM-Driven SAST-Genius: A Hybrid Static Analysis Framework for Comprehensive and Actionable Security</t>
  </si>
  <si>
    <t>Hybrid SAST+LLM</t>
  </si>
  <si>
    <t>hybrid, SAST+LLM, false positive, 91% FP reduction, Semgrep, key paper</t>
  </si>
  <si>
    <t>Hybrid SAST+LLM reducing FP by 91% (225→20 alerts) vs Semgrep alone — strongest validation of ZeroTrust.sh architecture</t>
  </si>
  <si>
    <t>https://arxiv.org/abs/2509.15433</t>
  </si>
  <si>
    <t>ZeroFalse: Improving Precision in Static Analysis with LLMs</t>
  </si>
  <si>
    <t>LLM, false positive reduction, static analysis, precision, ZeroFalse</t>
  </si>
  <si>
    <t>LLM false positive reduction in static analysis — validates LLM Verifier design in Path A</t>
  </si>
  <si>
    <t>https://arxiv.org/abs/2510.02534</t>
  </si>
  <si>
    <t>Combining Large Language Models with Static Analyzers for Code Review Generation</t>
  </si>
  <si>
    <t>Jaoua et al.</t>
  </si>
  <si>
    <t>LLM, static analysis, code review, patch suggestion, output format</t>
  </si>
  <si>
    <t>LLM + static analysis for code review — informs patch suggestion output format</t>
  </si>
  <si>
    <t>https://arxiv.org/abs/2502.06633</t>
  </si>
  <si>
    <t>A Contemporary Survey of LLM-Assisted Program Analysis</t>
  </si>
  <si>
    <t>survey, program analysis, LLM, comprehensive, all approaches reference</t>
  </si>
  <si>
    <t>Comprehensive survey of LLM program analysis techniques — architecture reference for all three approaches</t>
  </si>
  <si>
    <t>https://arxiv.org/abs/2502.18474</t>
  </si>
  <si>
    <t>RepoAudit: An Autonomous LLM-Agent for Repository-Level Code Auditing</t>
  </si>
  <si>
    <t>LLM agent, repository-level, multi-agent, orchestration, Approach 3</t>
  </si>
  <si>
    <t>LLM-agent for repo-level auditing — informs Approach 3 multi-agent orchestration design</t>
  </si>
  <si>
    <t>https://arxiv.org/abs/2501.18160</t>
  </si>
  <si>
    <t>Security Vulnerabilities in AI-Generated Code: A Large-Scale Analysis of Public GitHub Repositories</t>
  </si>
  <si>
    <t>Zhao et al.</t>
  </si>
  <si>
    <t>IEEE/ACM</t>
  </si>
  <si>
    <t>AI-Generated Code Security</t>
  </si>
  <si>
    <t>AI-generated code, CWE, GitHub, empirical, 4241 instances, market validation</t>
  </si>
  <si>
    <t>4,241 CWE instances across AI-generated code from 4 tools — empirical validation of the core ZeroTrust.sh problem statement</t>
  </si>
  <si>
    <t>https://arxiv.org/abs/2510.26103</t>
  </si>
  <si>
    <t>Prompt Injection Attacks on Agentic Coding Assistants: A Systematic Analysis</t>
  </si>
  <si>
    <t>Yang et al.</t>
  </si>
  <si>
    <t>AI Agent Security</t>
  </si>
  <si>
    <t>prompt injection, agentic, coding assistant, attack, 85% success rate</t>
  </si>
  <si>
    <t>85%+ attack success rates for prompt injection in agentic assistants — validates ZeroTrust.sh AI-specific threat detection</t>
  </si>
  <si>
    <t>https://arxiv.org/abs/2601.17548</t>
  </si>
  <si>
    <t>Security Degradation in Iterative AI Code Generation: A Systematic Analysis of the Paradox</t>
  </si>
  <si>
    <t>IEEE-ISTAS</t>
  </si>
  <si>
    <t>iterative generation, vibe-coding, security degradation, LLM, threat model</t>
  </si>
  <si>
    <t>Iterative LLM interactions without human review introduce new vulnerabilities — validates vibe-coding threat model</t>
  </si>
  <si>
    <t>https://arxiv.org/abs/2506.11022</t>
  </si>
  <si>
    <t>Assessing the Quality and Security of AI-Generated Code: A Quantitative Analysis</t>
  </si>
  <si>
    <t>AI-generated code, quantitative, security assessment, quality metrics</t>
  </si>
  <si>
    <t>Quantitative security analysis of AI-generated code — market validation and threat taxonomy reference</t>
  </si>
  <si>
    <t>https://arxiv.org/abs/2508.14727</t>
  </si>
  <si>
    <t>You Still Have to Study: On the Security of LLM Generated Code</t>
  </si>
  <si>
    <t>Ferrara et al.</t>
  </si>
  <si>
    <t>Copilot, CWE, 36-40% vulnerability rate, LLM-generated code, pitch statistic</t>
  </si>
  <si>
    <t>36–40% of Copilot code contains CWE vulnerabilities — key statistic for product positioning and pitch</t>
  </si>
  <si>
    <t>https://arxiv.org/abs/2408.07106</t>
  </si>
  <si>
    <t>FrugalGPT: How to Use Large Language Models While Reducing Cost and Improving Performance</t>
  </si>
  <si>
    <t>Eisingerich et al.</t>
  </si>
  <si>
    <t>Token Cost Optimization</t>
  </si>
  <si>
    <t>cascade routing, cost optimization, 98% savings, LLM pipeline, FrugalGPT</t>
  </si>
  <si>
    <t>Cascade routing achieving 98% cost savings — theoretical foundation for Cascading Intelligence architecture</t>
  </si>
  <si>
    <t>https://arxiv.org/abs/2305.05176</t>
  </si>
  <si>
    <t>Batch Prompting: Efficient Inference with Large Language Model APIs</t>
  </si>
  <si>
    <t>Rajkumar et al.</t>
  </si>
  <si>
    <t>batch processing, token cost, 5x reduction, inference efficiency</t>
  </si>
  <si>
    <t>Batch processing reducing LLM token costs up to 5x — informs Token Budget Controller batching strategy</t>
  </si>
  <si>
    <t>https://arxiv.org/abs/2301.08721</t>
  </si>
  <si>
    <t>Token Sugar: Making Source Code Sweeter for LLMs through Token-Efficient Shorthand</t>
  </si>
  <si>
    <t>token optimization, code representation, shorthand, context compression</t>
  </si>
  <si>
    <t>Token optimization for code representation — informs context chunking in Token Budget Controller</t>
  </si>
  <si>
    <t>https://arxiv.org/abs/2512.08266</t>
  </si>
  <si>
    <t>Learning to Focus: Context Extraction for Efficient Code Vulnerability Detection with Language Models</t>
  </si>
  <si>
    <t>Dittmann et al.</t>
  </si>
  <si>
    <t>context filtering, token budget, vulnerability detection, efficiency, focus extraction</t>
  </si>
  <si>
    <t>Context filtering for reducing LLM token consumption in vulnerability detection — directly validates Token Budget Controller</t>
  </si>
  <si>
    <t>https://arxiv.org/abs/2505.17460</t>
  </si>
  <si>
    <t>Vulnerability Detection with Interprocedural Context in Multiple Languages: Assessing Effectiveness and Cost</t>
  </si>
  <si>
    <t>Gharibi et al.</t>
  </si>
  <si>
    <t>Call Graph &amp; Taint Analysis</t>
  </si>
  <si>
    <t>interprocedural, multi-language, call graph, LLM detection, effectiveness</t>
  </si>
  <si>
    <t>Interprocedural analysis impact on LLM detection across languages — validates Call Graph + CVE Enrichment in Path B</t>
  </si>
  <si>
    <t>https://arxiv.org/abs/2604.08417</t>
  </si>
  <si>
    <t>Multi-Agent Taint Specification Extraction for Vulnerability Detection</t>
  </si>
  <si>
    <t>taint analysis, multi-agent, CodeQL, LLM, Approach 3</t>
  </si>
  <si>
    <t>Multi-agent LLM + taint analysis — informs Approach 3 multi-agent architecture with CodeQL/Joern integration</t>
  </si>
  <si>
    <t>https://arxiv.org/abs/2601.10865</t>
  </si>
  <si>
    <t>LLMxCPG: Context-Aware Vulnerability Detection Through Code Property Graph-Guided LLMs</t>
  </si>
  <si>
    <t>Pan et al.</t>
  </si>
  <si>
    <t>CPG, code property graph, context-aware, LLM, Path B integration</t>
  </si>
  <si>
    <t>CPG-guided LLM for context-aware detection — informs CPG integration in Path B call graph analysis</t>
  </si>
  <si>
    <t>https://arxiv.org/abs/2507.16585</t>
  </si>
  <si>
    <t>Bridging Code Property Graphs and Language Models for Program Analysis</t>
  </si>
  <si>
    <t>Mahfouz et al.</t>
  </si>
  <si>
    <t>CPG, LLM, program analysis, hybrid CPG+LLM, framework</t>
  </si>
  <si>
    <t>Framework bridging CPG and LLMs — validates hybrid CPG+LLM design in Path B</t>
  </si>
  <si>
    <t>https://arxiv.org/abs/2603.24837</t>
  </si>
  <si>
    <t>Enhancing Software Vulnerability Detection Using Code Property Graphs and Convolutional Neural Networks</t>
  </si>
  <si>
    <t>CPG, CNN, local structure, global structure, code classifier training</t>
  </si>
  <si>
    <t>CPG+CNN for local and global code structure — informs Code Classifier training in new architecture</t>
  </si>
  <si>
    <t>https://arxiv.org/abs/2503.18175</t>
  </si>
  <si>
    <t>VulTrLM: LLM-Assisted Vulnerability Detection via AST Decomposition and Comment Enhancement</t>
  </si>
  <si>
    <t>Liu et al.</t>
  </si>
  <si>
    <t>Empirical Software Engineering</t>
  </si>
  <si>
    <t>LLM, AST decomposition, semantic enhancement, comment, AST preprocessing</t>
  </si>
  <si>
    <t>LLM-assisted AST decomposition for semantic enhancement — informs AST preprocessing in Path B Tier 1</t>
  </si>
  <si>
    <t>https://dl.acm.org/doi/10.1007/s10664-025-10738-7</t>
  </si>
  <si>
    <t>Dataflow Analysis-Inspired Deep Learning for Efficient Vulnerability Detection</t>
  </si>
  <si>
    <t>Cheng et al.</t>
  </si>
  <si>
    <t>dataflow analysis, deep learning, CodeQL integration, Path A validation</t>
  </si>
  <si>
    <t>Dataflow analysis-inspired DL approach — validates dataflow integration in Path A CodeQL/Joern</t>
  </si>
  <si>
    <t>https://arxiv.org/abs/2212.08108</t>
  </si>
  <si>
    <t>Reducing False Positives in Static Bug Detection with LLMs: An Empirical Study in Industry</t>
  </si>
  <si>
    <t>false positive, LLM, industrial study, production scale, empirical</t>
  </si>
  <si>
    <t>Industrial study on LLM false positive reduction — validates LLM Verifier design in Path A at production scale</t>
  </si>
  <si>
    <t>https://arxiv.org/abs/2601.18844</t>
  </si>
  <si>
    <t>LSAST: Enhancing Cybersecurity through LLM-supported Static Application Security Testing</t>
  </si>
  <si>
    <t>Local LLM Deployment</t>
  </si>
  <si>
    <t>local LLM, privacy-first, offline, SAST, no cloud API, on-device</t>
  </si>
  <si>
    <t>Locally-hostable LLM for SAST without cloud APIs — validates privacy-first local LLM deployment approach</t>
  </si>
  <si>
    <t>https://arxiv.org/abs/2409.15735</t>
  </si>
  <si>
    <t>Software Vulnerability Analysis Across Programming Language and Program Representation Landscapes: A Survey</t>
  </si>
  <si>
    <t>survey, AST, CFG, PDG, CPG, program representation, multi-language</t>
  </si>
  <si>
    <t>Survey of AST, CFG, PDG, CPG representations — reference for program representation selection across all approaches</t>
  </si>
  <si>
    <t>https://arxiv.org/abs/2503.20244</t>
  </si>
  <si>
    <t>We Have a Package for You! A Comprehensive Analysis of Package Hallucinations by Code Generating LLMs</t>
  </si>
  <si>
    <t>Spracklen et al.</t>
  </si>
  <si>
    <t>USENIX Security 2025</t>
  </si>
  <si>
    <t>slopsquatting, package hallucination, supply chain, npm, pip, 205474 hallucinations, foundational</t>
  </si>
  <si>
    <t>Foundational study: 205,474 hallucinated package names across 16 LLMs — commercial at 5.2%, open-source at 21.7%. Baseline threat ZeroTrust.sh must detect.</t>
  </si>
  <si>
    <t>https://arxiv.org/abs/2406.10279</t>
  </si>
  <si>
    <t>Importing Phantoms: Measuring LLM Package Hallucination Vulnerabilities</t>
  </si>
  <si>
    <t>Krishna et al.</t>
  </si>
  <si>
    <t>arXiv:2501.19012</t>
  </si>
  <si>
    <t>slopsquatting, package hallucination, language comparison, model size, Pareto frontier</t>
  </si>
  <si>
    <t>Hallucination rates across languages, model sizes, and task specificity — identifies highest-risk agent configurations for slopsquatting detection.</t>
  </si>
  <si>
    <t>https://arxiv.org/abs/2501.19012</t>
  </si>
  <si>
    <t>The Range Shrinks, the Threat Remains: Re-evaluating LLM Package Hallucinations on the 2026 Frontier-Model Cohort</t>
  </si>
  <si>
    <t>arXiv:2605.17062</t>
  </si>
  <si>
    <t>slopsquatting, frontier models, Claude, GPT-5, 127 common hallucinations, 2026 benchmark</t>
  </si>
  <si>
    <t>Frontier models (Claude Haiku 4.5 at 4.62%, GPT-5.4-mini at 6.10%) still hallucinate; 127 package names all models invent — rich target set for detection rules.</t>
  </si>
  <si>
    <t>https://arxiv.org/abs/2605.17062</t>
  </si>
  <si>
    <t>PackMonitor: Enabling Zero Package Hallucinations Through Decoding-Time Monitoring</t>
  </si>
  <si>
    <t>arXiv:2602.20717</t>
  </si>
  <si>
    <t>slopsquatting, decoding-time defense, PyPI, npm, authoritative package list, prevention</t>
  </si>
  <si>
    <t>Defense via decoding-time intervention constraining generation to authoritative package lists — informs ZeroTrust.sh's detection and verification strategy.</t>
  </si>
  <si>
    <t>https://arxiv.org/abs/2602.20717</t>
  </si>
  <si>
    <t>Secure or Suspect? Investigating Package Hallucinations of Shell Command in Original and Quantized LLMs</t>
  </si>
  <si>
    <t>Haque et al.</t>
  </si>
  <si>
    <t>arXiv:2512.08213</t>
  </si>
  <si>
    <t>slopsquatting, quantized models, GGUF, shell command, realistic URL mimicry</t>
  </si>
  <si>
    <t>Quantized models have significantly higher hallucination rates; fabricated packages mimic GitHub/golang.org URLs — relevant for sophisticated slopsquatting detection.</t>
  </si>
  <si>
    <t>https://arxiv.org/abs/2512.08213</t>
  </si>
  <si>
    <t>'Your AI, My Shell': Demystifying Prompt Injection Attacks on Agentic AI Coding Editors</t>
  </si>
  <si>
    <t>arXiv:2509.22040</t>
  </si>
  <si>
    <t>prompt injection, Cursor, repository poisoning, agentic editor, shell execution hijack</t>
  </si>
  <si>
    <t>First empirical analysis of Cursor via repository poisoning — attackers inject malicious instructions into dev resources to hijack shell execution. Direct ZeroTrust.sh threat model.</t>
  </si>
  <si>
    <t>https://arxiv.org/abs/2509.22040</t>
  </si>
  <si>
    <t>The Dark Side of LLMs: Agent-based Attacks for Complete Computer Takeover</t>
  </si>
  <si>
    <t>Lupinacci et al.</t>
  </si>
  <si>
    <t>arXiv:2507.06850</t>
  </si>
  <si>
    <t>privilege escalation, inter-agent trust, 94.4% vulnerable, agent-to-agent attack, safety bypass</t>
  </si>
  <si>
    <t>94.4% of models vulnerable to direct injection; 83.3% to inter-agent trust exploitation — key data for detecting agent-to-agent attack chains in ZeroTrust.sh.</t>
  </si>
  <si>
    <t>https://arxiv.org/abs/2507.06850</t>
  </si>
  <si>
    <t>VIGIL: Defending LLM Agents Against Tool Stream Injection via Verify-Before-Commit</t>
  </si>
  <si>
    <t>Lin et al.</t>
  </si>
  <si>
    <t>arXiv:2601.05755</t>
  </si>
  <si>
    <t>tool stream injection, SIREN benchmark, verify-before-commit, runtime poisoning, 959 attack cases</t>
  </si>
  <si>
    <t>Defense against tool stream injection; SIREN benchmark (959 attack cases) provides test corpus for ZeroTrust.sh detection validation.</t>
  </si>
  <si>
    <t>https://arxiv.org/abs/2601.05755</t>
  </si>
  <si>
    <t>Agentic AI Security: Threats, Defenses, Evaluation, and Open Challenges</t>
  </si>
  <si>
    <t>Datta et al.</t>
  </si>
  <si>
    <t>arXiv:2510.23883</t>
  </si>
  <si>
    <t>survey, agentic AI, threat taxonomy, tool use, memory, autonomy, planning</t>
  </si>
  <si>
    <t>Comprehensive survey of agentic AI threat taxonomy distinguishing autonomous execution risks from traditional LLM safety — essential scope reference for ZeroTrust.sh.</t>
  </si>
  <si>
    <t>https://arxiv.org/abs/2510.23883</t>
  </si>
  <si>
    <t>Are AI-assisted Development Tools Immune to Prompt Injection?</t>
  </si>
  <si>
    <t>arXiv:2603.21642</t>
  </si>
  <si>
    <t>MCP, tool poisoning, Claude Code, Cursor, Cline, Continue, Gemini CLI, coding tools benchmark</t>
  </si>
  <si>
    <t>First empirical analysis of MCP clients (Claude Code, Cursor, Cline, Continue, Gemini CLI) against tool-poisoning attacks — directly relevant to detecting injection in AI tool contexts.</t>
  </si>
  <si>
    <t>https://arxiv.org/abs/2603.21642</t>
  </si>
  <si>
    <t>Taming Various Privilege Escalation in LLM-Based Agent Systems: A Mandatory Access Control Framework</t>
  </si>
  <si>
    <t>arXiv:2601.11893</t>
  </si>
  <si>
    <t>privilege escalation, MAC framework, SEAgent, formal model, agent security policy</t>
  </si>
  <si>
    <t>Formal model of privilege escalation in LLM agents with SEAgent MAC framework — informs detection rules for trust boundary violations in agentic codebases.</t>
  </si>
  <si>
    <t>https://arxiv.org/abs/2601.11893</t>
  </si>
  <si>
    <t>BacAlarm: Mining and Simulating Composite API Traffic to Prevent Broken Access Control Violations</t>
  </si>
  <si>
    <t>arXiv:2512.19997</t>
  </si>
  <si>
    <t>Logic Vuln Detection</t>
  </si>
  <si>
    <t>broken access control, REST API, OWASP API, LLM agent, RAG, anomaly detection</t>
  </si>
  <si>
    <t>Broken access control detection in REST APIs via LLM-based agent traffic simulation and ensemble anomaly detection — core to detecting authorization gaps in Path B.</t>
  </si>
  <si>
    <t>https://arxiv.org/abs/2512.19997</t>
  </si>
  <si>
    <t>Rethinking Broken Object Level Authorization Attacks Under Zero Trust Principle</t>
  </si>
  <si>
    <t>Wu et al.</t>
  </si>
  <si>
    <t>arXiv:2507.02309</t>
  </si>
  <si>
    <t>BOLA, IDOR, zero trust, resource ID dataflow, authorization interval, 35 new CVEs</t>
  </si>
  <si>
    <t>BOLAZ: zero-trust defense for BOLA/IDOR via resource ID data flow analysis; discovered 35 new vulnerabilities — directly validates Path B's IDOR detection design.</t>
  </si>
  <si>
    <t>https://arxiv.org/abs/2507.02309</t>
  </si>
  <si>
    <t>VULSOLVER: Vulnerability Detection via LLM-Driven Constraint Solving</t>
  </si>
  <si>
    <t>arXiv:2509.00882</t>
  </si>
  <si>
    <t>LLM, constraint solving, call-chain analysis, 96.29% accuracy, semantic reasoning</t>
  </si>
  <si>
    <t>SAST + LLM semantic reasoning with progressive constraint modeling achieves 96.29% accuracy — applicable to detecting contextually-wrong authorization logic.</t>
  </si>
  <si>
    <t>https://arxiv.org/abs/2509.00882</t>
  </si>
  <si>
    <t>SAVANT: Vulnerability Detection in Application Dependencies through Semantic-Guided Reachability Analysis</t>
  </si>
  <si>
    <t>arXiv:2506.17798</t>
  </si>
  <si>
    <t>semantic preprocessing, LLM, reachability analysis, library API, 83.8% precision</t>
  </si>
  <si>
    <t>Semantic preprocessing + LLM context analysis for vulnerable API patterns; 83.8% precision — relevant to detecting missing authorization checks in library calls.</t>
  </si>
  <si>
    <t>https://arxiv.org/abs/2506.17798</t>
  </si>
  <si>
    <t>Argus: Reorchestrating Static Analysis via a Multi-Agent Ensemble for Full-Chain Security Vulnerability Detection</t>
  </si>
  <si>
    <t>arXiv:2604.06633</t>
  </si>
  <si>
    <t>multi-agent, SAST, false positive reduction, multi-hop reasoning, zero-day, full-chain</t>
  </si>
  <si>
    <t>First multi-agent LLM framework for SAST with multi-hop reasoning — discovers zero-day vulnerabilities spanning multiple functions; applicable to detecting business logic flaws.</t>
  </si>
  <si>
    <t>https://arxiv.org/abs/2604.06633</t>
  </si>
  <si>
    <t>Benchmarking LLMs and LLM-based Agents in Practical Vulnerability Detection for Code Repositories</t>
  </si>
  <si>
    <t>ACL 2025 / arXiv:2503.03586</t>
  </si>
  <si>
    <t>JitVul benchmark, 879 CVEs, interprocedural, ReAct agents, authorization flaws, ACL</t>
  </si>
  <si>
    <t>JitVul benchmark (879 CVEs) requires interprocedural analysis; ReAct agents outperform LLMs on auth flaws — suggests agentic approaches for Path B's multi-function context.</t>
  </si>
  <si>
    <t>https://arxiv.org/abs/2503.03586</t>
  </si>
  <si>
    <t>Prompting the Priorities: A First Look at Evaluating LLMs for Vulnerability Triage and Prioritization</t>
  </si>
  <si>
    <t>arXiv:2510.18508</t>
  </si>
  <si>
    <t>SSVC, triage, prioritization, 384 real-world CVEs, risk surface selection, LLM evaluation</t>
  </si>
  <si>
    <t>LLM evaluation on SSVC triage framework with 384 real-world vulnerabilities — methodology for prioritizing high-risk code surfaces before deep Path B analysis.</t>
  </si>
  <si>
    <t>https://arxiv.org/abs/2510.18508</t>
  </si>
  <si>
    <t>I Can't Believe It's Not a Valid Exploit</t>
  </si>
  <si>
    <t>arXiv:2602.04165</t>
  </si>
  <si>
    <t>PoC-Gym, exploit generation, static analysis guidance, 21% improvement, validation limits</t>
  </si>
  <si>
    <t>PoC-Gym framework shows static analysis guidance improves LLM exploit generation by 21% — informs heuristics for filtering false-positive authorization scenarios in Path B.</t>
  </si>
  <si>
    <t>https://arxiv.org/abs/2602.04165</t>
  </si>
  <si>
    <t>Mind the Gap: A Practical Attack on GGUF Quantization</t>
  </si>
  <si>
    <t>Egashira et al.</t>
  </si>
  <si>
    <t>ICML 2025 / arXiv:2505.23786</t>
  </si>
  <si>
    <t>GGUF, quantization, backdoor injection, Ollama, llama.cpp, supply chain, ICML</t>
  </si>
  <si>
    <t>Backdoor injection via GGUF quantization errors — essential threat model for ZeroTrust.sh's local LLM deployment: quantized models can exhibit hidden malicious behaviors.</t>
  </si>
  <si>
    <t>https://arxiv.org/abs/2505.23786</t>
  </si>
  <si>
    <t>Widening the Gap: Exploiting LLM Quantization via Outlier Injection</t>
  </si>
  <si>
    <t>Shi et al.</t>
  </si>
  <si>
    <t>arXiv:2605.15152</t>
  </si>
  <si>
    <t>quantization attack, AWQ, GPTQ, GGUF, outlier injection, adversarial, supply chain</t>
  </si>
  <si>
    <t>First quantization-conditioned attack affecting AWQ/GPTQ/GGUF — demonstrates supply-chain risks in locally-deployed quantized models; complements GGUF threat model.</t>
  </si>
  <si>
    <t>https://arxiv.org/abs/2605.15152</t>
  </si>
  <si>
    <t>A First Look At Efficient And Secure On-Device LLM Inference Against KV Leakage</t>
  </si>
  <si>
    <t>arXiv:2409.04040</t>
  </si>
  <si>
    <t>on-device LLM, KV cache leakage, FHE, TEE, privacy, local inference security</t>
  </si>
  <si>
    <t>Privacy attacks on on-device LLM inference via KV cache leakage — demonstrates how local inference can leak conversation history; relevant to ZeroTrust.sh's privacy-first design.</t>
  </si>
  <si>
    <t>https://arxiv.org/abs/2409.04040</t>
  </si>
  <si>
    <t>A Cost-Benefit Analysis of On-Premise Large Language Model Deployment: Breaking Even with Commercial LLM Services</t>
  </si>
  <si>
    <t>arXiv:2509.18101</t>
  </si>
  <si>
    <t>on-premise, cost analysis, breakeven, Qwen, Llama, Mistral, cloud vs local, value proposition</t>
  </si>
  <si>
    <t>Quantifies breakeven for on-premise LLM vs cloud APIs — supports ZeroTrust.sh's value proposition: local deployment becomes cost-competitive at scale.</t>
  </si>
  <si>
    <t>https://arxiv.org/abs/2509.18101</t>
  </si>
  <si>
    <t>LLMLingua: Compressing Prompts for Accelerated Inference of Large Language Models</t>
  </si>
  <si>
    <t>Jiang et al.</t>
  </si>
  <si>
    <t>arXiv:2310.05736</t>
  </si>
  <si>
    <t>Prompt Compression</t>
  </si>
  <si>
    <t>prompt compression, token pruning, 20x compression, budget control, coarse-to-fine</t>
  </si>
  <si>
    <t>Iterative token-level compression with budget control; up to 20x compression with minimal loss — directly applicable to compressing code context before LLM security scans.</t>
  </si>
  <si>
    <t>https://arxiv.org/abs/2310.05736</t>
  </si>
  <si>
    <t>LLMLingua-2: Data Distillation for Efficient and Faithful Task-Agnostic Prompt Compression</t>
  </si>
  <si>
    <t>arXiv:2403.12968</t>
  </si>
  <si>
    <t>prompt compression, data distillation, token classification, 3-6x faster, 1.6-2.9x latency</t>
  </si>
  <si>
    <t>Compression as token classification via GPT-4 distillation; 3–6x faster than LLMLingua with 2–5x compression ratios — ideal for repeated scans of similar code patterns.</t>
  </si>
  <si>
    <t>https://arxiv.org/abs/2403.12968</t>
  </si>
  <si>
    <t>LongLLMLingua: Accelerating and Enhancing LLMs in Long Context Scenarios via Prompt Compression</t>
  </si>
  <si>
    <t>arXiv:2310.06839</t>
  </si>
  <si>
    <t>long context, question-aware compression, document reordering, 94% cost reduction, 4x fewer tokens</t>
  </si>
  <si>
    <t>Question-aware compression for long-context scenarios; 94% cost reduction on LooGLE — critical for scanning large codebases and enriching prompts with vulnerability databases.</t>
  </si>
  <si>
    <t>https://arxiv.org/abs/2310.06839</t>
  </si>
  <si>
    <t>RECOMP: Improving Retrieval-Augmented LMs with Compression and Selective Augmentation</t>
  </si>
  <si>
    <t>Xu et al.</t>
  </si>
  <si>
    <t>arXiv:2310.04408</t>
  </si>
  <si>
    <t>RAG, retrieval augmentation, extractive compression, abstractive compression, 6% compression rate</t>
  </si>
  <si>
    <t>Compresses retrieved documents in RAG pipelines via extractive and abstractive methods — relevant when ZeroTrust.sh augments prompts with retrieved CVE or security knowledge.</t>
  </si>
  <si>
    <t>https://arxiv.org/abs/2310.04408</t>
  </si>
  <si>
    <t>Pruning the Unsurprising: Efficient LLM Reasoning via First-Token Surprisal</t>
  </si>
  <si>
    <t>arXiv:2508.05988</t>
  </si>
  <si>
    <t>CoT compression, first-token surprisal, 23.5% token reduction, 43.5% latency reduction, ASAP</t>
  </si>
  <si>
    <t>ASAP framework compresses chain-of-thought by 23.5% tokens and 43.5% latency — optimizes reasoning chains in vulnerability analysis without sacrificing accuracy.</t>
  </si>
  <si>
    <t>https://arxiv.org/abs/2508.05988</t>
  </si>
  <si>
    <t>Large Language Models as Optimizers (OPRO)</t>
  </si>
  <si>
    <t>arXiv:2309.03409</t>
  </si>
  <si>
    <t>Prompt Engineering</t>
  </si>
  <si>
    <t>automatic prompt optimization, OPRO, LLM-based refinement, in-context learning, 50% improvement</t>
  </si>
  <si>
    <t>Automatic prompt optimization via LLM-based iterative refinement; best prompts beat human-designed by up to 50% — applicable to auto-tuning ZeroTrust.sh security scanning prompts.</t>
  </si>
  <si>
    <t>https://arxiv.org/abs/2309.03409</t>
  </si>
  <si>
    <t>Chain of Draft: Thinking Faster by Writing Less</t>
  </si>
  <si>
    <t>arXiv:2502.18600</t>
  </si>
  <si>
    <t>chain of draft, CoT efficiency, 7.6% tokens, reasoning cost reduction, latency</t>
  </si>
  <si>
    <t>Reduces CoT verbosity to 7.6% of tokens while matching CoT accuracy — practical cost/latency reduction for reasoning-heavy vulnerability analysis in Path B.</t>
  </si>
  <si>
    <t>https://arxiv.org/abs/2502.18600</t>
  </si>
  <si>
    <t>Which Examples to Annotate for In-Context Learning? Towards Effective and Efficient Selection</t>
  </si>
  <si>
    <t>Mavromatis et al.</t>
  </si>
  <si>
    <t>arXiv:2310.20046</t>
  </si>
  <si>
    <t>few-shot selection, in-context learning, budget constraint, uncertainty sampling, diversity, AdaICL</t>
  </si>
  <si>
    <t>AdaICL selects maximally informative few-shot examples under token budget constraints — applicable to selecting the best security examples per scan without exceeding token limits.</t>
  </si>
  <si>
    <t>https://arxiv.org/abs/2310.20046</t>
  </si>
  <si>
    <t>DecoPrompt: Decoding Prompts Reduces Hallucinations when Large Language Models Meet False Premises</t>
  </si>
  <si>
    <t>Xu and Ma</t>
  </si>
  <si>
    <t>arXiv:2411.07457</t>
  </si>
  <si>
    <t>hallucination reduction, false premises, decoding prompts, inference-time, no retraining</t>
  </si>
  <si>
    <t>Inference-time hallucination reduction by decoding the prompt itself — cost-effective false positive reduction for ZeroTrust.sh without model retraining.</t>
  </si>
  <si>
    <t>https://arxiv.org/abs/2411.07457</t>
  </si>
  <si>
    <t>Unlocking Efficiency in Large Language Model Inference: A Comprehensive Survey of Speculative Decoding</t>
  </si>
  <si>
    <t>arXiv:2401.07851</t>
  </si>
  <si>
    <t>Inference Speed</t>
  </si>
  <si>
    <t>speculative decoding, draft model, parallel verification, inference acceleration, survey</t>
  </si>
  <si>
    <t>Comprehensive survey of speculative decoding (small draft model + large verifier) for LLM inference acceleration — core technique for optimizing local Ollama/llama.cpp execution speed.</t>
  </si>
  <si>
    <t>https://arxiv.org/abs/2401.07851</t>
  </si>
  <si>
    <t>Keep the Cost Down: A Review on Methods to Optimize LLM's KV-Cache Consumption</t>
  </si>
  <si>
    <t>arXiv:2407.18003</t>
  </si>
  <si>
    <t>KV-cache, PagedAttention, vLLM, token pruning, VRAM, memory optimization, survey</t>
  </si>
  <si>
    <t>Survey of KV-cache optimization strategies (PagedAttention, distributed KV-cache, token pruning) — reduces VRAM footprint for quantized GGUF models in ZeroTrust.sh local inference.</t>
  </si>
  <si>
    <t>https://arxiv.org/abs/2407.18003</t>
  </si>
  <si>
    <t>FlashAttention: Fast and Memory-Efficient Exact Attention with IO-Awareness</t>
  </si>
  <si>
    <t>Dao et al.</t>
  </si>
  <si>
    <t>arXiv:2205.14135</t>
  </si>
  <si>
    <t>flash attention, IO-aware, O(N) memory, foundational, attention efficiency, transformer</t>
  </si>
  <si>
    <t>Foundational IO-aware attention reducing memory from O(N²) to O(N) — enables processing longer code snippets with lower memory overhead during semantic analysis.</t>
  </si>
  <si>
    <t>https://arxiv.org/abs/2205.14135</t>
  </si>
  <si>
    <t>Why Low-Precision Transformer Training Fails: An Analysis on Flash Attention</t>
  </si>
  <si>
    <t>arXiv:2510.04212</t>
  </si>
  <si>
    <t>low-precision, GGUF, flash attention, quantization, performance analysis, precision limits</t>
  </si>
  <si>
    <t>Analyzes Flash Attention behavior under low-precision quantization — critical for understanding performance characteristics of quantized models used in ZeroTrust.sh's local deployment.</t>
  </si>
  <si>
    <t>https://arxiv.org/abs/2510.04212</t>
  </si>
  <si>
    <t>Optimizing LLM Inference Throughput via Memory-aware and SLA-constrained Dynamic Batching</t>
  </si>
  <si>
    <t>arXiv:2503.05248</t>
  </si>
  <si>
    <t>dynamic batching, throughput, SLA, memory-aware, continuous batching, parallel scanning</t>
  </si>
  <si>
    <t>Memory-aware dynamic batching with SLA constraints — optimizes continuous batching for ZeroTrust.sh's parallel Path A/B analysis phases to maximize throughput.</t>
  </si>
  <si>
    <t>https://arxiv.org/abs/2503.05248</t>
  </si>
  <si>
    <t>XGrammar: Flexible and Efficient Structured Generation Engine for Large Language Models</t>
  </si>
  <si>
    <t>arXiv:2411.15100</t>
  </si>
  <si>
    <t>Structured Generation</t>
  </si>
  <si>
    <t>grammar-constrained decoding, BNF, CFG, JSON, zero overhead, structured output, XGrammar</t>
  </si>
  <si>
    <t>Grammar-constrained decoding supporting BNF/CFG with zero overhead — enables Path B LLM to output structured JSON vulnerability findings without post-processing verification tokens.</t>
  </si>
  <si>
    <t>https://arxiv.org/abs/2411.15100</t>
  </si>
  <si>
    <t>JSONSchemaBench: A Rigorous Benchmark of Structured Outputs for Language Models</t>
  </si>
  <si>
    <t>arXiv:2501.10868</t>
  </si>
  <si>
    <t>JSON schema, structured output, Guidance, Outlines, XGrammar, benchmark, compliance</t>
  </si>
  <si>
    <t>Benchmarks constrained-decoding frameworks (Guidance, Outlines, XGrammar) on JSON Schema compliance — validates structured generation reliability for ZeroTrust.sh vulnerability report output.</t>
  </si>
  <si>
    <t>https://arxiv.org/abs/2501.10868</t>
  </si>
  <si>
    <t>SynCode: LLM Generation with Grammar Augmentation</t>
  </si>
  <si>
    <t>arXiv:2403.01632</t>
  </si>
  <si>
    <t>grammar augmentation, syntactic constraints, output schema, structured generation, alternative to XGrammar</t>
  </si>
  <si>
    <t>Grammar-augmented generation enforcing output structure via syntactic constraints — alternative to XGrammar for ensuring ZeroTrust.sh semantic output conforms to fixed schema.</t>
  </si>
  <si>
    <t>https://arxiv.org/abs/2403.01632</t>
  </si>
  <si>
    <t>Beyond RAG vs. Long-Context: Learning Distraction-Aware Retrieval for Efficient Knowledge Grounding</t>
  </si>
  <si>
    <t>arXiv:2509.21865</t>
  </si>
  <si>
    <t>Context Management</t>
  </si>
  <si>
    <t>RAG, long context, distraction-aware, lost in the middle, retrieval, code snippet selection</t>
  </si>
  <si>
    <t>Distraction-aware retrieval mitigating 'lost in the middle' effect — addresses how ZeroTrust.sh should select and contextualize code snippets rather than passing entire files to the LLM.</t>
  </si>
  <si>
    <t>https://arxiv.org/abs/2509.21865</t>
  </si>
  <si>
    <t>Automated Vulnerability Validation and Verification: A Large Language Model Approach</t>
  </si>
  <si>
    <t>Lotfi et al.</t>
  </si>
  <si>
    <t>arXiv:2509.24037</t>
  </si>
  <si>
    <t>Exploit Automation</t>
  </si>
  <si>
    <t>CVE exploitation, Docker, automated validation, 70% reproduction rate, offline LLM, PoE layer</t>
  </si>
  <si>
    <t>End-to-end LLM pipeline for automated CVE exploitation with Docker orchestration; 70% CVE reproduction rate — directly applicable to ZeroTrust.sh's Approach 3 PoE layer design.</t>
  </si>
  <si>
    <t>https://arxiv.org/abs/2509.24037</t>
  </si>
  <si>
    <t>Patch-to-PoC: A Systematic Study of Agentic LLM Systems for Linux Kernel N-Day Reproduction</t>
  </si>
  <si>
    <t>Pu et al.</t>
  </si>
  <si>
    <t>arXiv:2602.07287</t>
  </si>
  <si>
    <t>PoC generation, kernel exploit, KernelCTF, VM sandbox, 50%+ success, K-REPRO agent</t>
  </si>
  <si>
    <t>Autonomous LLM-based PoC generation from kernel patches with 50%+ success on KernelCTF — K-REPRO agent architecture with VM management informs sandbox PoE design.</t>
  </si>
  <si>
    <t>https://arxiv.org/abs/2602.07287</t>
  </si>
  <si>
    <t>PentestAgent: Incorporating LLM Agents to Automated Penetration Testing</t>
  </si>
  <si>
    <t>arXiv:2411.05185</t>
  </si>
  <si>
    <t>penetration testing, multi-agent, VulHub, Docker, reconnaissance, exploitation, red team</t>
  </si>
  <si>
    <t>Multi-agent framework for autonomous pentest using Docker VulHub environments — demonstrates agent architecture for reconnaissance and exploitation applicable to ZeroTrust.sh red-team layer.</t>
  </si>
  <si>
    <t>https://arxiv.org/abs/2411.05185</t>
  </si>
  <si>
    <t>Directed Greybox Fuzzing via Large Language Model</t>
  </si>
  <si>
    <t>arXiv:2505.03425</t>
  </si>
  <si>
    <t>LLM fuzzing, path constraint, code generation, 9 new CVEs, 17/20 trigger rate, HGFuzzer</t>
  </si>
  <si>
    <t>HGFuzzer uses LLMs to transform path constraints into code generation tasks; discovered 9 new CVEs with 17/20 trigger rate — alternative exploit discovery layer for Approach 3.</t>
  </si>
  <si>
    <t>https://arxiv.org/abs/2505.03425</t>
  </si>
  <si>
    <t>PoCGen: Generating Proof-of-Concept Exploits for Vulnerabilities in NPM Packages</t>
  </si>
  <si>
    <t>Shen et al.</t>
  </si>
  <si>
    <t>arXiv:2506.04962</t>
  </si>
  <si>
    <t>PoC generation, npm, JavaScript, Node.js, 77% success rate, CVE disclosure, ecosystem-specific</t>
  </si>
  <si>
    <t>Autonomous LLM-based PoC for npm vulnerabilities (77% on SecBench.js); 6 PoCs in official CVE disclosures — demonstrates ecosystem-specific PoE applicability for JavaScript targets.</t>
  </si>
  <si>
    <t>https://arxiv.org/abs/2506.04962</t>
  </si>
  <si>
    <t>Read Status:  Unread (gray) — not yet read  ·  Reading (amber) — in progress  ·  Read (blue) — finished  ·  Reviewed (green) — literature review written</t>
  </si>
  <si>
    <t>Intern: Ton Minh Hoang  ·  VNG ZingPlay Studio  ·  Program: 2026-06-09 → 2026-08-01  ·  Mentor: (Software Manager) Nguyễn Trung Hưng</t>
  </si>
  <si>
    <t>▐  INTERNSHIP TIMELINE</t>
  </si>
  <si>
    <t>Name</t>
  </si>
  <si>
    <t>Type</t>
  </si>
  <si>
    <t>Owner</t>
  </si>
  <si>
    <t>Semgrep + ast-grep Rule Suite</t>
  </si>
  <si>
    <t>MILESTONE</t>
  </si>
  <si>
    <t>Python rules in progress (per CLAUDE.md); Java rules not yet started</t>
  </si>
  <si>
    <t xml:space="preserve">    Build synthetic vulnerable test codebase (Python + Java)</t>
  </si>
  <si>
    <t>TASK</t>
  </si>
  <si>
    <t>Hoang</t>
  </si>
  <si>
    <t>Must exist before rules can be validated; trigger every rule class</t>
  </si>
  <si>
    <t xml:space="preserve">    Semgrep rules — LLM prompt injection patterns</t>
  </si>
  <si>
    <t>Python rules in progress; cover direct + indirect injection</t>
  </si>
  <si>
    <t xml:space="preserve">    Semgrep rules — security-control bypass comments</t>
  </si>
  <si>
    <t>e.g. # nosec, // nolint, AI-inserted disable comments</t>
  </si>
  <si>
    <t xml:space="preserve">    Semgrep rules — hardcoded AI API keys</t>
  </si>
  <si>
    <t>OpenAI, Anthropic, Cohere, HuggingFace key patterns</t>
  </si>
  <si>
    <t>1.M1.T5</t>
  </si>
  <si>
    <t xml:space="preserve">    Semgrep rules — MCP server config injection (.mcp.json)</t>
  </si>
  <si>
    <t>Novel surface; no community rules exist; highest-priority unique claim</t>
  </si>
  <si>
    <t>1.M1.T6</t>
  </si>
  <si>
    <t xml:space="preserve">    Semgrep rules — agent instruction file injection (.cursor/rules, AGENTS.md, CLAUDE.md, GEMINI.md, copilot-instructions.md)</t>
  </si>
  <si>
    <t>First tool to cover this vector; key demo talking point</t>
  </si>
  <si>
    <t>1.M1.T7</t>
  </si>
  <si>
    <t xml:space="preserve">    ast-grep structural matching rules (languages with weak Semgrep community packs)</t>
  </si>
  <si>
    <t>YAML rule format; target Rust, Kotlin, C# gaps in Semgrep OSS packs</t>
  </si>
  <si>
    <t>1.M1.T8</t>
  </si>
  <si>
    <t xml:space="preserve">    Rule validation + false-positive audit against test codebase</t>
  </si>
  <si>
    <t>Each rule must fire on &gt;= 1 test case; zero FPs on a clean-code control</t>
  </si>
  <si>
    <t>1.M1.T9</t>
  </si>
  <si>
    <t xml:space="preserve">    CI-runnable test harness</t>
  </si>
  <si>
    <t>Makefile or shell script; pass/fail output per rule class; runs in &lt; 60s</t>
  </si>
  <si>
    <t>Go CLI Core</t>
  </si>
  <si>
    <t>Claude Code compresses ML est. ~35%; single binary from day one</t>
  </si>
  <si>
    <t xml:space="preserve">    Go module init + project directory structure</t>
  </si>
  <si>
    <t>Go 1.22+; cmd/, internal/, pkg/ layout; add .gitignore</t>
  </si>
  <si>
    <t xml:space="preserve">    CLI argument parsing + TOML config schema</t>
  </si>
  <si>
    <t>cobra + viper (or stdlib flag); config fields: model-path, output-dir, scan-target, log-level</t>
  </si>
  <si>
    <t xml:space="preserve">    Directory walk + file-type detection (language routing table)</t>
  </si>
  <si>
    <t>filepath.WalkDir; extension -&gt; language enum map; respect .gitignore</t>
  </si>
  <si>
    <t xml:space="preserve">    ZIP archive extract + ingestion path</t>
  </si>
  <si>
    <t>archive/zip; extract to OS temp dir; cleanup on exit (defer)</t>
  </si>
  <si>
    <t xml:space="preserve">    Pluggable Finding channel interface definition</t>
  </si>
  <si>
    <t>chan Finding or writer interface; all pipeline components write here; schema frozen after M1.4</t>
  </si>
  <si>
    <t xml:space="preserve">    Cross-compile build pipeline (darwin/linux/windows, amd64/arm64)</t>
  </si>
  <si>
    <t>Makefile targets; GoReleaser optional; verify binary size &lt; 20 MB</t>
  </si>
  <si>
    <t xml:space="preserve">    Smoke test on real directory + binary install verification</t>
  </si>
  <si>
    <t>Binary accepts path arg, scans synthetic codebase, exits 0; test on macOS + Linux</t>
  </si>
  <si>
    <t>Ingestion Layer — Model Integrity Verifier + Differential Indexer</t>
  </si>
  <si>
    <t>MIV is a unique security property vs all competitors; demo talking point</t>
  </si>
  <si>
    <t xml:space="preserve">    Model Integrity Verifier: SHA256 hash function for GGUF file</t>
  </si>
  <si>
    <t>crypto/sha256; stream file in chunks to avoid OOM on large (4-8 GB) models</t>
  </si>
  <si>
    <t xml:space="preserve">    Model Integrity Verifier: pinned manifest format + loader</t>
  </si>
  <si>
    <t>JSON manifest: model name, version, expected SHA256; bundled in binary via go:embed</t>
  </si>
  <si>
    <t xml:space="preserve">    Model Integrity Verifier: startup check — block scan + user-facing error on mismatch</t>
  </si>
  <si>
    <t>Exit code 1 + clear error message; never silently continue on mismatch</t>
  </si>
  <si>
    <t xml:space="preserve">    Differential Indexer: per-file hash computation</t>
  </si>
  <si>
    <t>xxHash (faster) or SHA256 per file; parallel via goroutines over file list</t>
  </si>
  <si>
    <t xml:space="preserve">    Differential Indexer: hash cache store</t>
  </si>
  <si>
    <t>BoltDB at ~/.zerotrust/cache/&lt;project-hash&gt;.db; JSON flat-file as fallback</t>
  </si>
  <si>
    <t xml:space="preserve">    Differential Indexer: dirty-file computation (current vs cached hash diff)</t>
  </si>
  <si>
    <t>Returns []FileEntry of changed + new files only; passes to pipeline entry point</t>
  </si>
  <si>
    <t xml:space="preserve">    Differential Indexer: cache update on successful scan completion</t>
  </si>
  <si>
    <t>Only write on clean exit (code 0); never persist partial scan state</t>
  </si>
  <si>
    <t xml:space="preserve">    Integration test: tampered GGUF file -&gt; scan blocked</t>
  </si>
  <si>
    <t>Flip one byte in model file; assert exit code 1 + correct error message</t>
  </si>
  <si>
    <t xml:space="preserve">    Integration test: repeat scan -&gt; only changed files re-scanned</t>
  </si>
  <si>
    <t>Full scan, modify 1 file, rescan; assert only modified file enters pipeline</t>
  </si>
  <si>
    <t>Canonical Finding Schema + CLI Output</t>
  </si>
  <si>
    <t>Schema locked after this milestone — no breaking changes in G2/G3/G4</t>
  </si>
  <si>
    <t xml:space="preserve">    Finding struct definition in Go</t>
  </si>
  <si>
    <t>Fields: CWE, Severity, File, LineStart, LineEnd, Source, Confidence, Evidence, TaintPath (omitempty)</t>
  </si>
  <si>
    <t xml:space="preserve">    Severity tier constants (BLOCK / HIGH / MEDIUM / LOW / SUPPRESSED)</t>
  </si>
  <si>
    <t>Typed string constants — not bare strings; use in all components</t>
  </si>
  <si>
    <t xml:space="preserve">    JSON serialization for Finding struct</t>
  </si>
  <si>
    <t>encoding/json; omitempty on optional fields; test marshal/unmarshal roundtrip</t>
  </si>
  <si>
    <t xml:space="preserve">    Human-readable stdout formatter (colorized, grouped by severity)</t>
  </si>
  <si>
    <t>BLOCK=red, HIGH=orange, MEDIUM=yellow, LOW=blue; respect NO_COLOR env var</t>
  </si>
  <si>
    <t>1.M4.T5</t>
  </si>
  <si>
    <t xml:space="preserve">    Unit tests: struct construction, JSON serialization, stdout output</t>
  </si>
  <si>
    <t>Table-driven tests; golden file for stdout formatter output</t>
  </si>
  <si>
    <t>1.BUF</t>
  </si>
  <si>
    <t>G1 Buffer</t>
  </si>
  <si>
    <t>BUFFER</t>
  </si>
  <si>
    <t>Absorbs: Joern env surprises (R-01), tool version mismatches, sick days; cut stretch items before touching buffer</t>
  </si>
  <si>
    <t>ZeroTrust.sh  ·  G1 — Foundation &amp; Detection Scaffold</t>
  </si>
  <si>
    <t>Intern: Ton Minh Hoang  ·  VNG ZingPlay Studio  ·  Goal: Rule suite + Go CLI + Ingestion layer + Finding schema  ·  Deadline: 2026-06-27</t>
  </si>
  <si>
    <t>ZeroTrust.sh  ·  G2 — Path A: CPG + Taint + LLM Verifier</t>
  </si>
  <si>
    <t>Intern: Ton Minh Hoang  ·  VNG ZingPlay Studio  ·  Goal: Joern CPG + taint queries + Python worker IPC + LLM Verifier  ·  Deadline: 2026-07-18</t>
  </si>
  <si>
    <t>Joern CPG Build Pipeline</t>
  </si>
  <si>
    <t>Highest-risk milestone in plan; Joern env setup is the most common blocker; plan for 1-2 debug days</t>
  </si>
  <si>
    <t xml:space="preserve">    Joern installation + JVM setup + version-pin</t>
  </si>
  <si>
    <t>Pin exact Joern version in config (e.g. v4.x); Java 11+; confirm `joern --version` exits 0</t>
  </si>
  <si>
    <t xml:space="preserve">    Joern server startup verification</t>
  </si>
  <si>
    <t>Start Joern in server mode; send a no-op query; confirm response; measure cold-start time</t>
  </si>
  <si>
    <t xml:space="preserve">    Go subprocess wrapper: spawn Joern process via os/exec</t>
  </si>
  <si>
    <t>exec.Command; capture stdout/stderr; handle premature exit; log all Joern stderr to debug file</t>
  </si>
  <si>
    <t xml:space="preserve">    Go subprocess wrapper: health check + retry logic</t>
  </si>
  <si>
    <t>Poll Joern REST endpoint or REPL; max 3 retries; fail scan with clear error if Joern unresponsive</t>
  </si>
  <si>
    <t xml:space="preserve">    CPG generation: invoke Joern on source directory, capture output</t>
  </si>
  <si>
    <t>Feed only dirty files from Differential Indexer; enforce &lt;= 5K LOC gate before invoking; measure build time</t>
  </si>
  <si>
    <t>2.M1.T6</t>
  </si>
  <si>
    <t xml:space="preserve">    CPG serialization format decision + implementation</t>
  </si>
  <si>
    <t>Decision: in-memory graph vs file-based export; chosen format must be readable by both Path A and Path B without re-parse</t>
  </si>
  <si>
    <t>2.M1.T7</t>
  </si>
  <si>
    <t xml:space="preserve">    Shared CPG access interface (Path A + Path B)</t>
  </si>
  <si>
    <t>Go interface with at least: QueryNodes(type), QueryEdges(src, dst), GetCallGraph(); G3 components read from this interface</t>
  </si>
  <si>
    <t>2.M1.T8</t>
  </si>
  <si>
    <t xml:space="preserve">    Codebase size gate (&lt;= 5K LOC) + query timeout handling</t>
  </si>
  <si>
    <t>Count LOC before CPG build; reject with user-facing error if over limit; kill Joern process on timeout (default 60s)</t>
  </si>
  <si>
    <t>2.M1.T9</t>
  </si>
  <si>
    <t xml:space="preserve">    Integration test: CPG built successfully on synthetic test codebase</t>
  </si>
  <si>
    <t>Assert CPG non-empty; assert node types present (Method, Call, Identifier); assert build time &lt; 30s</t>
  </si>
  <si>
    <t>Taint Analysis Query Layer</t>
  </si>
  <si>
    <t>Taint paths produced here are the evidence fed into M2.3 LLM Verifier prompt</t>
  </si>
  <si>
    <t xml:space="preserve">    Source / sanitizer / sink taxonomy definition per language</t>
  </si>
  <si>
    <t>Languages: Java, Python, JS/TS, Go; document each category in a YAML taxonomy file</t>
  </si>
  <si>
    <t xml:space="preserve">    Joern traversal queries: external-input source nodes</t>
  </si>
  <si>
    <t>Scala DSL; sources: HTTP params, env vars, file reads, stdin, deserialized objects</t>
  </si>
  <si>
    <t xml:space="preserve">    Joern traversal queries: sanitizer nodes</t>
  </si>
  <si>
    <t>Sanitizers: input validation, HTML encoding, parameterized queries, allowlist checks</t>
  </si>
  <si>
    <t xml:space="preserve">    Joern traversal queries: dangerous sink nodes</t>
  </si>
  <si>
    <t>Sinks: eval, exec/system, SQL string concat, deserialize, file write to user-controlled path, SSRF URL construction</t>
  </si>
  <si>
    <t>2.M2.T5</t>
  </si>
  <si>
    <t xml:space="preserve">    Taint flow -&gt; Finding struct mapping + CWE assignment</t>
  </si>
  <si>
    <t>Each taint flow serialized: source node, sanitizer gaps, sink node, traversal path; CWE assigned by sink type</t>
  </si>
  <si>
    <t>2.M2.T6</t>
  </si>
  <si>
    <t xml:space="preserve">    Multi-language taint query test suite</t>
  </si>
  <si>
    <t>One taint case per language (Java, Python, JS/TS, Go); each must be detected; add to CI harness</t>
  </si>
  <si>
    <t>2.M2.T7</t>
  </si>
  <si>
    <t xml:space="preserve">    False positive baseline measurement on synthetic clean code</t>
  </si>
  <si>
    <t>Run taint queries on clean-code control set; count FPs; record as baseline before LLM Verifier applied</t>
  </si>
  <si>
    <t>Python Worker Bootstrap + LLM Verifier (False Positive Filter)</t>
  </si>
  <si>
    <t>Two parts: (1) IPC boundary — built once, reused by all G3 ML components; (2) LLM Verifier using XGrammar</t>
  </si>
  <si>
    <t xml:space="preserve">    Python venv setup + requirements.txt</t>
  </si>
  <si>
    <t>Packages: xgrammar, ollama (Python client), httpx; pin versions; venv at worker/venv/</t>
  </si>
  <si>
    <t xml:space="preserve">    Python worker main.py: message dispatcher</t>
  </si>
  <si>
    <t>Reads NDJSON from stdin in a loop; dispatches by `type` field (llm_verify, classify, summarize, llm_scan, ping, shutdown)</t>
  </si>
  <si>
    <t xml:space="preserve">    Go worker-manager: spawn Python worker via os/exec + pipe setup</t>
  </si>
  <si>
    <t>exec.Command('python3', '-u', 'worker/main.py'); -u disables output buffering; pipe stdin + stdout; route stderr to log</t>
  </si>
  <si>
    <t xml:space="preserve">    Go worker-manager: health-check ping + restart-on-crash logic</t>
  </si>
  <si>
    <t>Send ping; await pong; detect closed stdout pipe; attempt 1 restart; fallback to direct Ollama HTTP on second failure</t>
  </si>
  <si>
    <t xml:space="preserve">    NDJSON protocol: request/response schema + Go client library</t>
  </si>
  <si>
    <t>Request: {id, type, payload}; Response: {id, status, result} or {id, status, error}; thread-safe</t>
  </si>
  <si>
    <t>2.M3.T6</t>
  </si>
  <si>
    <t xml:space="preserve">    Python worker: Ollama HTTP client integration</t>
  </si>
  <si>
    <t>Call Ollama REST API (/api/generate); pass model name from config; handle timeout; verify model loaded</t>
  </si>
  <si>
    <t>2.M3.T7</t>
  </si>
  <si>
    <t xml:space="preserve">    Python worker: XGrammar JSON schema enforcement on LLM output</t>
  </si>
  <si>
    <t>Verdict JSON schema: {verified: bool, confidence: float, rationale: str}; XGrammar enforces at generation time</t>
  </si>
  <si>
    <t>2.M3.T8</t>
  </si>
  <si>
    <t xml:space="preserve">    Taint-flow prompt template</t>
  </si>
  <si>
    <t>Template inputs: taint flow path, sink type, reachability condition, sanitizer gaps; test with 5+ real taint flows</t>
  </si>
  <si>
    <t>2.M3.T9</t>
  </si>
  <si>
    <t xml:space="preserve">    Verdict routing back to Go Finding channel</t>
  </si>
  <si>
    <t>verified=true -&gt; write Finding to channel; verified=false -&gt; discard; confidence score written to Finding.Confidence</t>
  </si>
  <si>
    <t>2.M3.T10</t>
  </si>
  <si>
    <t xml:space="preserve">    Latency benchmark: per-finding round-trip time</t>
  </si>
  <si>
    <t>Target: &lt; 2s per finding (Go send -&gt; Python -&gt; Ollama -&gt; XGrammar -&gt; Go receive); log p50/p95</t>
  </si>
  <si>
    <t>2.M3.T11</t>
  </si>
  <si>
    <t xml:space="preserve">    Accuracy test: TP/FP rate on synthetic taint findings</t>
  </si>
  <si>
    <t>Run LLM Verifier on taint findings from M2.2; target &gt;= 88% FP reduction; record as A-18 pre-check</t>
  </si>
  <si>
    <t>Path A Integration Test Suite</t>
  </si>
  <si>
    <t>2026-07-18</t>
  </si>
  <si>
    <t>Natural pause point before G3; Joern CPG confirmed as shared infra; mentor review can be scheduled here</t>
  </si>
  <si>
    <t xml:space="preserve">    Synthetic test case set: 10+ vulnerable functions (one per CWE class)</t>
  </si>
  <si>
    <t>CWE classes: CWE-89 SQL injection, CWE-78 OS command injection, CWE-22 path traversal, CWE-502 deserialization, CWE-611 XXE, CWE-918 SSRF, CWE-79 XSS, CWE-327 weak crypto, CWE-798 hardcoded creds, CWE-94 code injection</t>
  </si>
  <si>
    <t xml:space="preserve">    End-to-end pipeline run (ingestion -&gt; Joern -&gt; taint -&gt; LLM Verifier -&gt; Finding output)</t>
  </si>
  <si>
    <t>Single `zerotrust scan ./test-codebase` command; all 10+ CWE cases must produce Findings</t>
  </si>
  <si>
    <t xml:space="preserve">    Precision/recall baseline measurement</t>
  </si>
  <si>
    <t>Record in docs/benchmarks/g2_baseline.md; this is the baseline G3 Path B will improve on</t>
  </si>
  <si>
    <t>2.M4.T4</t>
  </si>
  <si>
    <t xml:space="preserve">    Integration break fixes</t>
  </si>
  <si>
    <t>Resolve any failures found in T2/T3; if a fix takes &gt; 4h, escalate as At Risk and consume buffer</t>
  </si>
  <si>
    <t>2.M4.T5</t>
  </si>
  <si>
    <t xml:space="preserve">    Performance profiling: full scan time on 5K LOC synthetic codebase</t>
  </si>
  <si>
    <t>Measure: CPG build time, taint query time, LLM Verifier time, total wall clock; target total &lt; 5 min on 5K LOC</t>
  </si>
  <si>
    <t>2.BUF</t>
  </si>
  <si>
    <t>G2 Buffer</t>
  </si>
  <si>
    <t>Primary risk: R-01 Joern env setup surprises (OOM, Scala DSL learning curve); secondary: mentor review cycle</t>
  </si>
  <si>
    <t>ZeroTrust.sh  ·  G3 — Path B: Three-Tier Semantic Cost Funnel</t>
  </si>
  <si>
    <t>Intern: Ton Minh Hoang  ·  VNG ZingPlay Studio  ·  Goal: Heuristic Targeting + UniXcoder + Semantic Summarizer + LLM ReAct  ·  Deadline: 2026-08-01</t>
  </si>
  <si>
    <t>Heuristic Targeting + Call Graph + CVE Enrichment</t>
  </si>
  <si>
    <t>Reads Joern CPG from G2 (no re-parse); Trivy replaced by OSV-Scanner (CVE-2026-33634 supply chain compromise)</t>
  </si>
  <si>
    <t xml:space="preserve">    CPG node-type queries — external-input nodes</t>
  </si>
  <si>
    <t>Query CPG for HTTP params, env vars, file reads, stdin, deserialized objects; language-agnostic via shared CPG schema</t>
  </si>
  <si>
    <t xml:space="preserve">    CPG node-type queries — auth-boundary nodes</t>
  </si>
  <si>
    <t>Identify authentication/authorization check points; missing guard detection starts here</t>
  </si>
  <si>
    <t>3.M1.T3</t>
  </si>
  <si>
    <t xml:space="preserve">    CPG node-type queries — AI agent config file nodes</t>
  </si>
  <si>
    <t>MCP configs, .cursor/rules, AGENTS.md, CLAUDE.md, GEMINI.md; unique detection surface</t>
  </si>
  <si>
    <t>3.M1.T4</t>
  </si>
  <si>
    <t xml:space="preserve">    Call graph extraction from Joern CPG</t>
  </si>
  <si>
    <t>No separate build step — call graph comes from CPG built in G2; extract caller/callee edges; output: Go CallGraph struct</t>
  </si>
  <si>
    <t>3.M1.T5</t>
  </si>
  <si>
    <t xml:space="preserve">    OSV-Scanner Go library integration (github.com/google/osv-scanner/v2)</t>
  </si>
  <si>
    <t>Direct Go import — no subprocess; scan dependency manifests (go.mod, requirements.txt, pom.xml, package.json)</t>
  </si>
  <si>
    <t>3.M1.T6</t>
  </si>
  <si>
    <t xml:space="preserve">    CVE exact-match auto-flag + routing to findings</t>
  </si>
  <si>
    <t>If OSV-Scanner returns exact CVE match -&gt; write Finding directly with severity from CVSS; skip further analysis</t>
  </si>
  <si>
    <t>3.M1.T7</t>
  </si>
  <si>
    <t xml:space="preserve">    BOLAZ zero-trust resource ID dataflow flagging</t>
  </si>
  <si>
    <t>Flag all external IDs as untrustworthy until explicit authorization confirmed at each function boundary; targets IDOR/BOLA</t>
  </si>
  <si>
    <t>3.M1.T8</t>
  </si>
  <si>
    <t xml:space="preserve">    Surface list output format for downstream classifier</t>
  </si>
  <si>
    <t>Struct: Surface{ID, File, FunctionName, NodeType, CallGraphDepth, CVEMatches}; passed to M3.2 classifier</t>
  </si>
  <si>
    <t>UniXcoder Classifier Gate</t>
  </si>
  <si>
    <t>Primary LLM cost gate; A-18 calibration point — measure real precision/recall on AI-generated code; window spans weekend</t>
  </si>
  <si>
    <t xml:space="preserve">    UniXcoder model load in Python worker (extend dispatcher)</t>
  </si>
  <si>
    <t>Add `classify` type handler to Python worker from G2; load UniXcoder-Base-Nine via transformers; pin model version</t>
  </si>
  <si>
    <t xml:space="preserve">    Go IPC: classify request/response type handling</t>
  </si>
  <si>
    <t>Send Surface struct as payload; receive {verdict: vulnerable/safe/uncertain, confidence: float}; reuse NDJSON protocol</t>
  </si>
  <si>
    <t xml:space="preserve">    Confidence threshold calibration (3-band classification)</t>
  </si>
  <si>
    <t>Tune thresholds: high-conf-safe (dismiss), high-conf-vulnerable (flag direct), uncertain (-&gt; LLM); target uncertain band = 15-25%</t>
  </si>
  <si>
    <t>3.M2.T4</t>
  </si>
  <si>
    <t xml:space="preserve">    High-confidence-safe dismissal routing</t>
  </si>
  <si>
    <t>Surfaces below safe threshold -&gt; dropped silently; log count for cost funnel stats used in demo</t>
  </si>
  <si>
    <t>3.M2.T5</t>
  </si>
  <si>
    <t xml:space="preserve">    High-confidence-vulnerable direct Finding flag routing</t>
  </si>
  <si>
    <t>Surfaces above vulnerable threshold -&gt; write Finding directly to channel; no LLM call; Source field = 'UniXcoder'</t>
  </si>
  <si>
    <t>3.M2.T6</t>
  </si>
  <si>
    <t xml:space="preserve">    Unsupported-language bypass (Rust, Kotlin, Swift, C# -&gt; direct LLM)</t>
  </si>
  <si>
    <t>UniXcoder trained only on Python/Java/JS/TS/Go/Ruby/PHP; unsupported languages skip classifier</t>
  </si>
  <si>
    <t>3.M2.T7</t>
  </si>
  <si>
    <t xml:space="preserve">    A-18 gap measurement: precision/recall on AI-generated code vs BigVul baseline</t>
  </si>
  <si>
    <t>Run classifier on test codebase (AI-generated code); record F1, precision, recall; compare to claimed F1=94.73% on BigVul</t>
  </si>
  <si>
    <t>3.M2.T8</t>
  </si>
  <si>
    <t xml:space="preserve">    Classifier gate integration test: verify &lt; 25% of surfaces reach LLM tier</t>
  </si>
  <si>
    <t>Run full surface set through gate; assert uncertain band &lt;= 25%; if over, re-tune thresholds; log final funnel stats</t>
  </si>
  <si>
    <t>Call Chain Context Assembler + Semantic Function Summarizer</t>
  </si>
  <si>
    <t>LLM never receives raw code — only semantic summaries; aligns with IRIS ICLR 2025 design</t>
  </si>
  <si>
    <t xml:space="preserve">    Call chain traversal to depth 3 from Joern CPG (caller -&gt; surface -&gt; callee)</t>
  </si>
  <si>
    <t>Use call graph from 3.M1.T4; traverse depth 3 max; return ordered list [caller, surface, callee]; handle recursive/missing nodes</t>
  </si>
  <si>
    <t xml:space="preserve">    Multi-function context assembly (structured call chain representation)</t>
  </si>
  <si>
    <t>Struct: CallChainContext{functions: []FunctionContext, entryPoint, depth}; FunctionContext: name, params, local vars, calls, return type</t>
  </si>
  <si>
    <t>3.M3.T3</t>
  </si>
  <si>
    <t xml:space="preserve">    Semantic summary schema — taint-flow vulnerability class</t>
  </si>
  <si>
    <t>Fields: untrustedDataSource, sanitizersPresent[], sanitizerGaps[], sinkReached, sinkType</t>
  </si>
  <si>
    <t>3.M3.T4</t>
  </si>
  <si>
    <t xml:space="preserve">    Semantic summary schema — auth-guard vulnerability class</t>
  </si>
  <si>
    <t>Fields: resourceAccessed, authCheckPresent, authCheckLocation, principalVerified; enables IDOR + missing auth guard detection</t>
  </si>
  <si>
    <t>3.M3.T5</t>
  </si>
  <si>
    <t xml:space="preserve">    Semantic summary schema — logic-flaw vulnerability class</t>
  </si>
  <si>
    <t>Fields: businessConstraints[], stateTransitions[], enforcedAtBoundary; targets business logic and state machine flaws</t>
  </si>
  <si>
    <t>3.M3.T6</t>
  </si>
  <si>
    <t xml:space="preserve">    Function-level semantic abstraction generation (Python worker call)</t>
  </si>
  <si>
    <t>For each FunctionContext in call chain: call Python worker with `summarize` type; assemble into SummarizedCallChain struct</t>
  </si>
  <si>
    <t>3.M3.T7</t>
  </si>
  <si>
    <t xml:space="preserve">    Token footprint measurement before/after summarization</t>
  </si>
  <si>
    <t>Count tokens in raw call chain vs summarized version; target &gt;= 60% token reduction; log in docs/benchmarks/token_footprint.md</t>
  </si>
  <si>
    <t>3.M3.T8</t>
  </si>
  <si>
    <t xml:space="preserve">    Multi-function vulnerability detection test (IDOR + missing auth guard)</t>
  </si>
  <si>
    <t>Synthetic test: IDOR case spanning caller (no auth check) + surface (uses external ID) + callee (DB lookup); assert detected</t>
  </si>
  <si>
    <t>Token Budget Controller + LLM ReAct Scan + Scan Security Context Store</t>
  </si>
  <si>
    <t>T7-T9 are SCSS — explicit DROP CANDIDATES; cut these first if window is tight; ReAct scan works without SCSS</t>
  </si>
  <si>
    <t xml:space="preserve">    Surface prioritization ranking (CVE score x classifier uncertainty)</t>
  </si>
  <si>
    <t>Rank uncertain surfaces: (CVSS score from OSV x (1 - classifier confidence)); highest ranked consume token budget first</t>
  </si>
  <si>
    <t xml:space="preserve">    Hard per-scan token cap enforcement</t>
  </si>
  <si>
    <t>Configurable cap (default: 50K tokens per scan); token counter incremented on each LLM call; halt when cap reached</t>
  </si>
  <si>
    <t xml:space="preserve">    ReAct loop — Thought step</t>
  </si>
  <si>
    <t>LLM receives: semantic summary + vulnerability class schema; produces Thought: hypothesis + what additional context needed</t>
  </si>
  <si>
    <t xml:space="preserve">    ReAct loop — context-request step (call chain depth + CVE lookup)</t>
  </si>
  <si>
    <t>LLM can request: deeper call chain (up to depth 3), CVE DB lookup from OSV-Scanner, or prior inferences from SCSS</t>
  </si>
  <si>
    <t>3.M4.T5</t>
  </si>
  <si>
    <t xml:space="preserve">    ReAct loop — Observation -&gt; verdict step</t>
  </si>
  <si>
    <t>Max 3 ReAct steps; final step produces verdict; XGrammar enforces JSON schema; write to Finding channel</t>
  </si>
  <si>
    <t>3.M4.T6</t>
  </si>
  <si>
    <t xml:space="preserve">    XGrammar schema enforcement on ReAct output (extend Python worker)</t>
  </si>
  <si>
    <t>Add `llm_scan` type to Python worker dispatcher; XGrammar JSON schema for ReAct verdict</t>
  </si>
  <si>
    <t>3.M4.T7</t>
  </si>
  <si>
    <t xml:space="preserve">    [SCSS DROP FIRST] Scan Security Context Store: in-memory key-value store per scan</t>
  </si>
  <si>
    <t>DROP if M3.4 starts late; per-scan map: {surfaceID -&gt; SecurityInference}; stores inferred data sources, sanitizer gaps</t>
  </si>
  <si>
    <t>3.M4.T8</t>
  </si>
  <si>
    <t xml:space="preserve">    [SCSS DROP FIRST] SCSS read/write hooks on LLM calls</t>
  </si>
  <si>
    <t>DROP if M3.4 starts late; before ReAct Thought: inject prior inferences from SCSS; after verdict: write new inferences</t>
  </si>
  <si>
    <t>3.M4.T9</t>
  </si>
  <si>
    <t xml:space="preserve">    [SCSS DROP FIRST] Cross-surface vulnerability detection test</t>
  </si>
  <si>
    <t>DROP if M3.4 starts late; test: vulnerability only detectable by combining inferences from two separate surfaces</t>
  </si>
  <si>
    <t>3.BUF</t>
  </si>
  <si>
    <t>G3 Buffer</t>
  </si>
  <si>
    <t>Compressed 10% buffer (tight window); SCSS drop saves 8.5h — treat as de-facto buffer extension if M3.4 runs short</t>
  </si>
  <si>
    <t>ZeroTrust.sh  ·  G4 — Integration, Report &amp; Demo</t>
  </si>
  <si>
    <t>Intern: Ton Minh Hoang  ·  VNG ZingPlay Studio  ·  Goal: Dedup + SSVC scoring + HTML report + end-to-end demo  ·  Deadline: 2026-08-06</t>
  </si>
  <si>
    <t>4.M1</t>
  </si>
  <si>
    <t>Dedup + SSVC Confidence Scoring</t>
  </si>
  <si>
    <t>2026-08-03</t>
  </si>
  <si>
    <t>Skeleton should be pre-stubbed during G3 final week; merges Path A + Path B findings into unified 5-tier output</t>
  </si>
  <si>
    <t>4.M1.T1</t>
  </si>
  <si>
    <t xml:space="preserve">    Dedup — AST edit distance comparison</t>
  </si>
  <si>
    <t>Compare evidence snippets from Path A and Path B; collapse duplicates above edit-distance threshold</t>
  </si>
  <si>
    <t>4.M1.T2</t>
  </si>
  <si>
    <t xml:space="preserve">    Dedup — CWE pattern hash</t>
  </si>
  <si>
    <t>Hash: CWE ID + file path + line range; collapse findings with identical hash; fastest dedup pass, runs first</t>
  </si>
  <si>
    <t>4.M1.T3</t>
  </si>
  <si>
    <t xml:space="preserve">    Dedup — LLM semantic similarity check (Python worker call)</t>
  </si>
  <si>
    <t>For findings not collapsed by T1/T2: embed + cosine similarity; collapse if similarity &gt; threshold</t>
  </si>
  <si>
    <t>4.M1.T4</t>
  </si>
  <si>
    <t xml:space="preserve">    SSVC dimension mapping -&gt; 5-tier score assignment</t>
  </si>
  <si>
    <t>Dimensions: Exploitation (EPSS from OSV), Automatable (taint path), Technical Impact (sink type); map to BLOCK/HIGH/MEDIUM/LOW/SUPPRESSED</t>
  </si>
  <si>
    <t>4.M1.T5</t>
  </si>
  <si>
    <t xml:space="preserve">    Cross-path confirmation boost (+15% for findings confirmed by both paths)</t>
  </si>
  <si>
    <t>If same finding appears in Path A and Path B output (after dedup): boost SSVC score by +15%</t>
  </si>
  <si>
    <t>4.M1.T6</t>
  </si>
  <si>
    <t xml:space="preserve">    Suppression rules + dedup test suite</t>
  </si>
  <si>
    <t>Suppress: findings in test files (_test.go, test_*.py), framework-safe functions; test suite: 5+ dedup cases, 3+ suppression</t>
  </si>
  <si>
    <t>4.M2</t>
  </si>
  <si>
    <t>HTML Report Generator + Patch Suggestions</t>
  </si>
  <si>
    <t>2026-08-04</t>
  </si>
  <si>
    <t>Go html/template + embed only — no Python dependency; output is a single portable .html file</t>
  </si>
  <si>
    <t>4.M2.T1</t>
  </si>
  <si>
    <t xml:space="preserve">    Go html/template structure + embed setup</t>
  </si>
  <si>
    <t>//go:embed templates/*; base template with header, severity sections, finding cards; CSS inlined; no CDN dependencies</t>
  </si>
  <si>
    <t>4.M2.T2</t>
  </si>
  <si>
    <t xml:space="preserve">    Finding list serialization to HTML (severity groups, collapsible evidence panels)</t>
  </si>
  <si>
    <t>Group findings by SSVC tier (BLOCK first); each finding card: file + line, CWE, rationale, evidence snippet, patch suggestion</t>
  </si>
  <si>
    <t>4.M2.T3</t>
  </si>
  <si>
    <t xml:space="preserve">    Filter/sort controls (vanilla JS — no framework)</t>
  </si>
  <si>
    <t>Filter by: severity tier, CWE, file path; sort by: SSVC score, file name; ~50 lines of vanilla JS; self-contained</t>
  </si>
  <si>
    <t>4.M2.T4</t>
  </si>
  <si>
    <t xml:space="preserve">    SSVC score visualization (severity tier badges + dimension breakdown)</t>
  </si>
  <si>
    <t>Colored badge per tier (BLOCK=red, HIGH=orange, MEDIUM=yellow, LOW=blue, SUPPRESSED=grey); tooltip shows SSVC dimensions</t>
  </si>
  <si>
    <t>4.M2.T5</t>
  </si>
  <si>
    <t xml:space="preserve">    Patch suggestion prompt template + unified diff output (Python worker call)</t>
  </si>
  <si>
    <t>Zero-shot LLM call via `patch_suggest` type; prompt: finding rationale + code context; output: unified diff</t>
  </si>
  <si>
    <t>4.M3</t>
  </si>
  <si>
    <t>End-to-End Demo Run + Hardening</t>
  </si>
  <si>
    <t>2026-08-06</t>
  </si>
  <si>
    <t>Final gate before demo; `zerotrust scan ./target` must work end-to-end; timing must be &lt; 10 min on test codebase</t>
  </si>
  <si>
    <t>4.M3.T1</t>
  </si>
  <si>
    <t xml:space="preserve">    Source or build 2-3 realistic AI-generated vulnerable codebases</t>
  </si>
  <si>
    <t>Languages: Python (FastAPI/Flask), Go (net/http), Java (Spring Boot); use real AI-agent-generated code where possible</t>
  </si>
  <si>
    <t>4.M3.T2</t>
  </si>
  <si>
    <t xml:space="preserve">    Full pipeline run on each target codebase</t>
  </si>
  <si>
    <t>Run `zerotrust scan ./target` end-to-end; verify: GGUF verified at startup, dirty files only re-scanned, HTML report generated</t>
  </si>
  <si>
    <t>4.M3.T3</t>
  </si>
  <si>
    <t>Resolve any pipeline failures from T2; if a fix exceeds 2h, escalate as At Risk; do not introduce new features</t>
  </si>
  <si>
    <t>4.M3.T4</t>
  </si>
  <si>
    <t xml:space="preserve">    Scan timing measurement (wall clock + per-component breakdown)</t>
  </si>
  <si>
    <t>Instrument: CPG build time, classifier gate time, LLM call time, total wall clock; target total &lt; 10 min</t>
  </si>
  <si>
    <t>4.M3.T5</t>
  </si>
  <si>
    <t xml:space="preserve">    Demo script + rehearsal run</t>
  </si>
  <si>
    <t>Script covers: detection found, cost funnel % reached LLM, SSVC score explanation, patch diff, model integrity demo</t>
  </si>
  <si>
    <t>4.M4</t>
  </si>
  <si>
    <t>PoE Layer — Red Team Agent + Docker Sandbox</t>
  </si>
  <si>
    <t>STRETCH</t>
  </si>
  <si>
    <t>STRETCH — CUT FIRST. Do not attempt if any G3 M3.4 task is incomplete on Aug 1. Parallel with M4.3 if attempted.</t>
  </si>
  <si>
    <t>4.M4.T1</t>
  </si>
  <si>
    <t xml:space="preserve">    [STRETCH] LangGraph workflow setup (Recon -&gt; Exploit -&gt; Verify graph nodes)</t>
  </si>
  <si>
    <t>Python LangGraph v1.0; 3 nodes with typed state: Reconnaissance, Exploitation, Verification; state machine transitions</t>
  </si>
  <si>
    <t>4.M4.T2</t>
  </si>
  <si>
    <t xml:space="preserve">    [STRETCH] Docker sandbox: container spec + seccomp profile (network isolation)</t>
  </si>
  <si>
    <t>Go Docker SDK; container: no network, no root, seccomp deny-list; volume mount: target codebase read-only</t>
  </si>
  <si>
    <t>4.M4.T3</t>
  </si>
  <si>
    <t xml:space="preserve">    [STRETCH] Docker sandbox: attempt-trigger logic for BLOCK/HIGH findings</t>
  </si>
  <si>
    <t>LangGraph Exploitation node generates exploit code; passes to sandbox; captures execution result; timeout = 30s</t>
  </si>
  <si>
    <t>4.M4.T4</t>
  </si>
  <si>
    <t xml:space="preserve">    [STRETCH] Two-layer PoE output (technical trace + executive summary)</t>
  </si>
  <si>
    <t>Technical trace: exploit code, execution log, sandbox exit code; executive summary: vulnerability name, business impact</t>
  </si>
  <si>
    <t>4.M4.T5</t>
  </si>
  <si>
    <t xml:space="preserve">    [STRETCH] Static-evidence fallback when sandbox execution fails</t>
  </si>
  <si>
    <t>If sandbox exits non-zero or times out: emit 'Static evidence only — sandbox execution failed'; degrade gracefully</t>
  </si>
  <si>
    <t>4.BUF</t>
  </si>
  <si>
    <t>G4 Buffer</t>
  </si>
  <si>
    <t>Tight 10% buffer; primary absorption: integration breaks in M4.3; if M4.4 not attempted, its 15h become additional buffer</t>
  </si>
  <si>
    <t xml:space="preserve">    Read and annotate Area 1 (Deep Learning &amp; ML for Vulnerability Detection, ~4 papers) and Area 2 (GNN for Vulnerability Detection, ~6 papers)</t>
  </si>
  <si>
    <t xml:space="preserve">    Read and annotate Area 3 (LLM for Code Security Analysis, ~6 papers)</t>
  </si>
  <si>
    <t xml:space="preserve">    Read and annotate Area 4 (Hybrid Static Analysis + LLM, ~5 papers) and Area 5 (AI-Generated Code Security &amp; Prompt Injection, ~5 papers)</t>
  </si>
  <si>
    <t xml:space="preserve">    Read and annotate Area 6 (Token Cost Optimization, ~4 papers) and Area 7 (Call Graph, Taint Analysis &amp; Code Representations, ~10 papers)</t>
  </si>
  <si>
    <t xml:space="preserve">    Build paper-to-architecture-component linkage map: assign each of the 40 papers to &gt;= 1 ZeroTrust.sh component as primary evidence</t>
  </si>
  <si>
    <t>Map every architecture component to &gt;= 1 supporting paper. Flag components with no academic backing as validation gaps.</t>
  </si>
  <si>
    <t xml:space="preserve">    Map Path B three-tier cost funnel to supporting papers with specific claimed performance figures recorded</t>
  </si>
  <si>
    <t xml:space="preserve">    Identify every architecture component with zero academic backing and document each as an open validation gap</t>
  </si>
  <si>
    <t>Verify every quantitative claim in the architecture docs against its source paper.</t>
  </si>
  <si>
    <t xml:space="preserve">    Verify UniXcoder-Base-Nine F1=94.73% on BigVul: locate original paper, confirm exact evaluation setup</t>
  </si>
  <si>
    <t xml:space="preserve">    Verify 88-93% false positive reduction claim for the LLM Verifier</t>
  </si>
  <si>
    <t xml:space="preserve">    Verify ~80-95% cost reduction claim for the Differential Indexer</t>
  </si>
  <si>
    <t xml:space="preserve">    Verify ~15-25% LLM escalation rate and ~95% file elimination rate</t>
  </si>
  <si>
    <t>Research Semgrep, Snyk Code, and CodeRabbit structural gaps vs ZeroTrust.sh. Compile differentiation evidence table.</t>
  </si>
  <si>
    <t xml:space="preserve">    Research publicly available accuracy and precision data for Semgrep OSS and Semgrep Pro</t>
  </si>
  <si>
    <t xml:space="preserve">    Research Snyk Code architecture with focus on cloud dependency and source-code-upload requirements</t>
  </si>
  <si>
    <t xml:space="preserve">    Research CodeRabbit's PR-gated workflow architecture: document what it structurally cannot do</t>
  </si>
  <si>
    <t xml:space="preserve">    Search academic databases for evidence that local-only execution with AI-specific threat detection is under-served</t>
  </si>
  <si>
    <t xml:space="preserve">    Compile differentiation evidence table: ZeroTrust.sh differentiator, evidence source, competitor, gap type</t>
  </si>
  <si>
    <t>Formal document linking every major design decision to research evidence. Written for tech lead + stakeholders.</t>
  </si>
  <si>
    <t xml:space="preserve">    Write Path A justification section: Semgrep + CodeQL/Joern + LLM Verifier rationale with paper citations</t>
  </si>
  <si>
    <t xml:space="preserve">    Write Path B justification section: cost-funnel rationale for each tier with paper citations</t>
  </si>
  <si>
    <t xml:space="preserve">    Write Dedup and 5-tier Confidence Scoring justification with triple-path fusion rationale</t>
  </si>
  <si>
    <t xml:space="preserve">    Write Differential Indexer justification: hash-based incremental scanning design</t>
  </si>
  <si>
    <t xml:space="preserve">    Write PoE Layer justification and compile tech-lead narrative summary (&lt;=2 pages for non-technical stakeholders)</t>
  </si>
  <si>
    <t>Set up alert infrastructure for post-June-2026 papers. Forward-citation pass on top 5 most-cited papers.</t>
  </si>
  <si>
    <t xml:space="preserve">    Configure arXiv email digest alerts for all 7 research areas using category filters cs.CR, cs.SE, cs.LG</t>
  </si>
  <si>
    <t xml:space="preserve">    Configure Google Scholar keyword alerts for ZeroTrust.sh-relevant terms</t>
  </si>
  <si>
    <t xml:space="preserve">    Perform forward-citation pass on top 5 most-cited papers in the 40-paper catalogue</t>
  </si>
  <si>
    <t xml:space="preserve">    Write monitoring runbook documenting exact search queries, weekly review steps, monthly deep-search protocol</t>
  </si>
  <si>
    <t xml:space="preserve">    Integrate newly discovered papers into validation matrix; update benchmarks reference table if figures superseded</t>
  </si>
  <si>
    <t>▐  PROGRESS BY GOAL</t>
  </si>
  <si>
    <t>Blocked</t>
  </si>
  <si>
    <t>Foundation &amp; Detection Scaffold</t>
  </si>
  <si>
    <t>Path A: CPG + Taint + LLM Verifier</t>
  </si>
  <si>
    <t>Path B: Semantic Cost Funnel</t>
  </si>
  <si>
    <t>Integration, Report &amp; Demo</t>
  </si>
  <si>
    <t>Jun W3
Jun 16–22</t>
  </si>
  <si>
    <t>Jun W4
Jun 23–29</t>
  </si>
  <si>
    <t>Jul W1
Jun 30–Jul 6</t>
  </si>
  <si>
    <t>Jul W2
Jul 7–13</t>
  </si>
  <si>
    <t>Jul W3
Jul 14–20</t>
  </si>
  <si>
    <t>Jul W4
Jul 21–27</t>
  </si>
  <si>
    <t>Aug W1
Jul 28–Aug 6</t>
  </si>
  <si>
    <t>G1 — Foundation</t>
  </si>
  <si>
    <t>G2 — Path A</t>
  </si>
  <si>
    <t>G3 — Path B</t>
  </si>
  <si>
    <t>G4 — Integration</t>
  </si>
  <si>
    <t>Research (all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</si>
</sst>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4" x14ac:knownFonts="1">
    <font>
      <sz val="11"/>
      <color theme="1"/>
      <name val="Calibri"/>
      <family val="2"/>
      <scheme val="minor"/>
    </font>
    <font>
      <b/>
      <sz val="24"/>
      <color rgb="FFFFFFFF"/>
      <name val="Arial"/>
    </font>
    <font>
      <i/>
      <sz val="12"/>
      <color rgb="FFFFFFFF"/>
      <name val="Arial"/>
    </font>
    <font>
      <b/>
      <sz val="12"/>
      <color rgb="FF1F3864"/>
      <name val="Arial"/>
    </font>
    <font>
      <b/>
      <sz val="24"/>
      <color rgb="FF2E75B6"/>
      <name val="Arial"/>
    </font>
    <font>
      <b/>
      <sz val="12"/>
      <color rgb="FFFFFFFF"/>
      <name val="Arial"/>
    </font>
    <font>
      <sz val="12"/>
      <color rgb="FF1F3864"/>
      <name val="Arial"/>
    </font>
    <font>
      <b/>
      <sz val="12"/>
      <color rgb="FF2E75B6"/>
      <name val="Arial"/>
    </font>
    <font>
      <sz val="12"/>
      <color rgb="FF595959"/>
      <name val="Arial"/>
    </font>
    <font>
      <i/>
      <sz val="9"/>
      <color rgb="FF666666"/>
      <name val="Arial"/>
    </font>
    <font>
      <b/>
      <sz val="12"/>
      <color rgb="FFFFFFFF"/>
      <name val="Arial"/>
      <family val="2"/>
    </font>
    <font>
      <b/>
      <sz val="18"/>
      <color rgb="FFFFFFFF"/>
      <name val="Arial"/>
      <family val="2"/>
    </font>
    <font>
      <sz val="18"/>
      <color theme="1"/>
      <name val="Calibri"/>
      <family val="2"/>
      <scheme val="minor"/>
    </font>
    <font>
      <b/>
      <sz val="24"/>
      <color rgb="FFFFFFFF"/>
      <name val="Arial"/>
      <family val="2"/>
    </font>
    <font>
      <i/>
      <sz val="12"/>
      <color rgb="FFFFFFFF"/>
      <name val="Arial"/>
      <family val="2"/>
    </font>
    <font>
      <b/>
      <sz val="16"/>
      <color rgb="FF1F3864"/>
      <name val="Arial"/>
      <family val="2"/>
    </font>
    <font>
      <b/>
      <sz val="16"/>
      <color rgb="FF1E7B34"/>
      <name val="Arial"/>
      <family val="2"/>
    </font>
    <font>
      <b/>
      <sz val="16"/>
      <color rgb="FFB45309"/>
      <name val="Arial"/>
      <family val="2"/>
    </font>
    <font>
      <b/>
      <sz val="16"/>
      <color rgb="FF842029"/>
      <name val="Arial"/>
      <family val="2"/>
    </font>
    <font>
      <b/>
      <sz val="16"/>
      <color rgb="FF2E75B6"/>
      <name val="Arial"/>
      <family val="2"/>
    </font>
    <font>
      <b/>
      <sz val="12"/>
      <color rgb="FF1F3864"/>
      <name val="Arial"/>
      <family val="2"/>
    </font>
    <font>
      <sz val="12"/>
      <color rgb="FF1F3864"/>
      <name val="Arial"/>
      <family val="2"/>
    </font>
    <font>
      <b/>
      <sz val="12"/>
      <name val="Arial"/>
      <family val="2"/>
    </font>
    <font>
      <sz val="12"/>
      <name val="Arial"/>
      <family val="2"/>
    </font>
    <font>
      <u/>
      <sz val="12"/>
      <color rgb="FF2E75B6"/>
      <name val="Arial"/>
      <family val="2"/>
    </font>
    <font>
      <i/>
      <sz val="12"/>
      <color rgb="FFAAAAAA"/>
      <name val="Arial"/>
      <family val="2"/>
    </font>
    <font>
      <b/>
      <sz val="12"/>
      <color rgb="FFFFFFFF"/>
      <name val="Calibri"/>
      <family val="2"/>
    </font>
    <font>
      <sz val="12"/>
      <color rgb="FFB45309"/>
      <name val="Calibri"/>
      <family val="2"/>
    </font>
    <font>
      <sz val="12"/>
      <color rgb="FF000000"/>
      <name val="Calibri"/>
      <family val="2"/>
    </font>
    <font>
      <i/>
      <sz val="12"/>
      <color rgb="FF5C4B00"/>
      <name val="Calibri"/>
      <family val="2"/>
    </font>
    <font>
      <b/>
      <sz val="20"/>
      <color rgb="FFFFFFFF"/>
      <name val="Calibri"/>
      <family val="2"/>
    </font>
    <font>
      <i/>
      <sz val="11"/>
      <color rgb="FFFFFFFF"/>
      <name val="Calibri"/>
      <family val="2"/>
    </font>
    <font>
      <b/>
      <sz val="12"/>
      <color rgb="FFB45309"/>
      <name val="Calibri"/>
      <family val="2"/>
    </font>
    <font>
      <b/>
      <sz val="12"/>
      <color rgb="FF000000"/>
      <name val="Calibri"/>
      <family val="2"/>
    </font>
    <font>
      <sz val="12"/>
      <color rgb="FF666666"/>
      <name val="Calibri"/>
      <family val="2"/>
    </font>
    <font>
      <b/>
      <i/>
      <sz val="12"/>
      <color rgb="FF4527A0"/>
      <name val="Calibri"/>
      <family val="2"/>
    </font>
    <font>
      <b/>
      <sz val="12"/>
      <color rgb="FFFFFFFF"/>
      <name val="Calibri (Body)"/>
    </font>
    <font>
      <b/>
      <sz val="12"/>
      <color rgb="FF000000"/>
      <name val="Calibri (Body)"/>
    </font>
    <font>
      <b/>
      <sz val="12"/>
      <color rgb="FF1F3864"/>
      <name val="Calibri (Body)"/>
    </font>
    <font>
      <sz val="12"/>
      <color theme="1"/>
      <name val="Calibri (Body)"/>
    </font>
    <font>
      <b/>
      <sz val="12"/>
      <color rgb="FF1B5E20"/>
      <name val="Calibri (Body)"/>
    </font>
    <font>
      <b/>
      <sz val="12"/>
      <color rgb="FFE65100"/>
      <name val="Calibri (Body)"/>
    </font>
    <font>
      <b/>
      <sz val="12"/>
      <color rgb="FF4A148C"/>
      <name val="Calibri (Body)"/>
    </font>
    <font>
      <b/>
      <sz val="12"/>
      <color rgb="FF006064"/>
      <name val="Calibri (Body)"/>
    </font>
  </fonts>
  <fills count="20">
    <fill>
      <patternFill patternType="none"/>
    </fill>
    <fill>
      <patternFill patternType="gray125"/>
    </fill>
    <fill>
      <patternFill patternType="solid">
        <fgColor rgb="FF1F3864"/>
      </patternFill>
    </fill>
    <fill>
      <patternFill patternType="solid">
        <fgColor rgb="FF2E75B6"/>
      </patternFill>
    </fill>
    <fill>
      <patternFill patternType="solid">
        <fgColor rgb="FFBDD7EE"/>
      </patternFill>
    </fill>
    <fill>
      <patternFill patternType="solid">
        <fgColor rgb="FFFFFFFF"/>
      </patternFill>
    </fill>
    <fill>
      <patternFill patternType="solid">
        <fgColor rgb="FFFFF3CD"/>
      </patternFill>
    </fill>
    <fill>
      <patternFill patternType="solid">
        <fgColor rgb="FFF2F2F2"/>
      </patternFill>
    </fill>
    <fill>
      <patternFill patternType="solid">
        <fgColor rgb="FFFFF9E6"/>
      </patternFill>
    </fill>
    <fill>
      <patternFill patternType="solid">
        <fgColor rgb="FFFFFEF5"/>
      </patternFill>
    </fill>
    <fill>
      <patternFill patternType="solid">
        <fgColor rgb="FFF0F8FF"/>
      </patternFill>
    </fill>
    <fill>
      <patternFill patternType="solid">
        <fgColor rgb="FF2E5FA3"/>
      </patternFill>
    </fill>
    <fill>
      <patternFill patternType="solid">
        <fgColor rgb="FFD6E4F0"/>
      </patternFill>
    </fill>
    <fill>
      <patternFill patternType="solid">
        <fgColor rgb="FFF5F5F5"/>
      </patternFill>
    </fill>
    <fill>
      <patternFill patternType="solid">
        <fgColor rgb="FFEDE7F6"/>
      </patternFill>
    </fill>
    <fill>
      <patternFill patternType="solid">
        <fgColor rgb="FFFAFAFA"/>
      </patternFill>
    </fill>
    <fill>
      <patternFill patternType="solid">
        <fgColor rgb="FFC8E6C9"/>
      </patternFill>
    </fill>
    <fill>
      <patternFill patternType="solid">
        <fgColor rgb="FFFFE0B2"/>
      </patternFill>
    </fill>
    <fill>
      <patternFill patternType="solid">
        <fgColor rgb="FFE1BEE7"/>
      </patternFill>
    </fill>
    <fill>
      <patternFill patternType="solid">
        <fgColor rgb="FFE0F7FA"/>
      </patternFill>
    </fill>
  </fills>
  <borders count="19">
    <border>
      <left/>
      <right/>
      <top/>
      <bottom/>
      <diagonal/>
    </border>
    <border>
      <left style="thin">
        <color rgb="FF2E75B6"/>
      </left>
      <right style="thin">
        <color rgb="FF2E75B6"/>
      </right>
      <top style="thin">
        <color rgb="FF2E75B6"/>
      </top>
      <bottom style="thin">
        <color rgb="FF2E75B6"/>
      </bottom>
      <diagonal/>
    </border>
    <border>
      <left style="thin">
        <color rgb="FFBFBFBF"/>
      </left>
      <right style="thin">
        <color rgb="FFBFBFBF"/>
      </right>
      <top style="thin">
        <color rgb="FFBFBFBF"/>
      </top>
      <bottom style="thin">
        <color rgb="FFBFBFBF"/>
      </bottom>
      <diagonal/>
    </border>
    <border>
      <left style="thin">
        <color rgb="FF2E74B6"/>
      </left>
      <right style="thin">
        <color rgb="FF2E74B6"/>
      </right>
      <top style="thin">
        <color rgb="FF2E74B6"/>
      </top>
      <bottom style="thin">
        <color rgb="FF2E74B6"/>
      </bottom>
      <diagonal/>
    </border>
    <border>
      <left/>
      <right style="thin">
        <color rgb="FF2E74B6"/>
      </right>
      <top style="thin">
        <color rgb="FF2E74B6"/>
      </top>
      <bottom style="thin">
        <color indexed="64"/>
      </bottom>
      <diagonal/>
    </border>
    <border>
      <left/>
      <right style="thin">
        <color rgb="FF2E74B6"/>
      </right>
      <top style="thin">
        <color indexed="64"/>
      </top>
      <bottom style="thin">
        <color indexed="64"/>
      </bottom>
      <diagonal/>
    </border>
    <border>
      <left/>
      <right style="thin">
        <color rgb="FF2E74B6"/>
      </right>
      <top style="thin">
        <color indexed="64"/>
      </top>
      <bottom style="thin">
        <color rgb="FF2E74B6"/>
      </bottom>
      <diagonal/>
    </border>
    <border>
      <left style="thin">
        <color rgb="FF2E74B6"/>
      </left>
      <right style="thin">
        <color rgb="FF2E74B6"/>
      </right>
      <top style="thin">
        <color rgb="FF2E74B6"/>
      </top>
      <bottom style="thin">
        <color indexed="64"/>
      </bottom>
      <diagonal/>
    </border>
    <border>
      <left style="thin">
        <color rgb="FF2E74B6"/>
      </left>
      <right style="thin">
        <color rgb="FF2E74B6"/>
      </right>
      <top style="thin">
        <color indexed="64"/>
      </top>
      <bottom style="thin">
        <color indexed="64"/>
      </bottom>
      <diagonal/>
    </border>
    <border>
      <left style="thin">
        <color rgb="FF2E74B6"/>
      </left>
      <right style="thin">
        <color rgb="FF2E74B6"/>
      </right>
      <top style="thin">
        <color indexed="64"/>
      </top>
      <bottom style="thin">
        <color rgb="FF2E74B6"/>
      </bottom>
      <diagonal/>
    </border>
    <border>
      <left style="thin">
        <color rgb="FF2E74B6"/>
      </left>
      <right/>
      <top style="thin">
        <color rgb="FF2E74B6"/>
      </top>
      <bottom style="thin">
        <color indexed="64"/>
      </bottom>
      <diagonal/>
    </border>
    <border>
      <left style="thin">
        <color rgb="FF2E74B6"/>
      </left>
      <right/>
      <top style="thin">
        <color indexed="64"/>
      </top>
      <bottom style="thin">
        <color indexed="64"/>
      </bottom>
      <diagonal/>
    </border>
    <border>
      <left style="thin">
        <color rgb="FF2E74B6"/>
      </left>
      <right/>
      <top style="thin">
        <color indexed="64"/>
      </top>
      <bottom style="thin">
        <color rgb="FF2E74B6"/>
      </bottom>
      <diagonal/>
    </border>
    <border>
      <left style="thin">
        <color rgb="FF1F3864"/>
      </left>
      <right style="thin">
        <color rgb="FF1F3864"/>
      </right>
      <top/>
      <bottom style="thin">
        <color rgb="FF1F3864"/>
      </bottom>
      <diagonal/>
    </border>
    <border>
      <left/>
      <right/>
      <top style="thin">
        <color rgb="FF2E74B6"/>
      </top>
      <bottom/>
      <diagonal/>
    </border>
    <border>
      <left style="thin">
        <color rgb="FF2E74B6"/>
      </left>
      <right style="thin">
        <color rgb="FF2E74B6"/>
      </right>
      <top style="thin">
        <color rgb="FF2E74B6"/>
      </top>
      <bottom/>
      <diagonal/>
    </border>
    <border>
      <left style="thin">
        <color rgb="FF2E74B6"/>
      </left>
      <right style="thin">
        <color rgb="FF2E74B6"/>
      </right>
      <top/>
      <bottom style="thin">
        <color rgb="FF2E74B6"/>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s>
  <cellStyleXfs count="1">
    <xf numFmtId="0" fontId="0" fillId="0" borderId="0"/>
  </cellStyleXfs>
  <cellXfs count="134">
    <xf numFmtId="0" fontId="0" fillId="0" borderId="0" xfId="0"/>
    <xf numFmtId="0" fontId="0" fillId="4" borderId="0" xfId="0" applyFill="1"/>
    <xf numFmtId="0" fontId="1" fillId="2" borderId="0" xfId="0" applyFont="1" applyFill="1" applyAlignment="1">
      <alignment horizontal="center" vertical="center"/>
    </xf>
    <xf numFmtId="0" fontId="0" fillId="0" borderId="0" xfId="0"/>
    <xf numFmtId="0" fontId="2" fillId="3" borderId="0" xfId="0" applyFont="1" applyFill="1" applyAlignment="1">
      <alignment horizontal="center" vertical="center"/>
    </xf>
    <xf numFmtId="0" fontId="9" fillId="0" borderId="0" xfId="0" applyFont="1" applyAlignment="1">
      <alignment horizontal="left" vertical="center" wrapText="1"/>
    </xf>
    <xf numFmtId="0" fontId="0" fillId="0" borderId="0" xfId="0" applyFill="1"/>
    <xf numFmtId="0" fontId="11" fillId="2" borderId="0" xfId="0" applyFont="1" applyFill="1" applyAlignment="1">
      <alignment horizontal="left" vertical="center"/>
    </xf>
    <xf numFmtId="0" fontId="12" fillId="0" borderId="0" xfId="0" applyFont="1"/>
    <xf numFmtId="0" fontId="13" fillId="2" borderId="0" xfId="0" applyFont="1" applyFill="1" applyAlignment="1">
      <alignment horizontal="center" vertical="center"/>
    </xf>
    <xf numFmtId="0" fontId="14" fillId="3" borderId="0" xfId="0" applyFont="1" applyFill="1" applyAlignment="1">
      <alignment horizontal="center" vertical="center"/>
    </xf>
    <xf numFmtId="0" fontId="12" fillId="0" borderId="0" xfId="0" applyFont="1" applyFill="1"/>
    <xf numFmtId="0" fontId="3" fillId="0" borderId="0" xfId="0" applyFont="1" applyFill="1" applyBorder="1" applyAlignment="1">
      <alignment horizontal="center" vertical="center"/>
    </xf>
    <xf numFmtId="164" fontId="4" fillId="0" borderId="0" xfId="0" applyNumberFormat="1" applyFont="1" applyFill="1" applyBorder="1" applyAlignment="1">
      <alignment horizontal="center" vertical="center"/>
    </xf>
    <xf numFmtId="9" fontId="7" fillId="0" borderId="0" xfId="0" applyNumberFormat="1" applyFont="1" applyFill="1" applyBorder="1" applyAlignment="1">
      <alignment horizontal="center" vertical="center"/>
    </xf>
    <xf numFmtId="0" fontId="5" fillId="0" borderId="0" xfId="0" applyFont="1" applyFill="1" applyBorder="1" applyAlignment="1">
      <alignment horizontal="center" vertical="center"/>
    </xf>
    <xf numFmtId="0" fontId="8" fillId="0" borderId="0" xfId="0" applyFont="1" applyFill="1" applyBorder="1" applyAlignment="1">
      <alignment horizontal="left" vertical="center"/>
    </xf>
    <xf numFmtId="0" fontId="12" fillId="0" borderId="0" xfId="0" applyFont="1" applyFill="1" applyBorder="1"/>
    <xf numFmtId="0" fontId="0" fillId="0" borderId="0" xfId="0" applyBorder="1"/>
    <xf numFmtId="0" fontId="0" fillId="0" borderId="0" xfId="0" applyFill="1" applyBorder="1"/>
    <xf numFmtId="0" fontId="0" fillId="0" borderId="14" xfId="0" applyFill="1" applyBorder="1"/>
    <xf numFmtId="0" fontId="15" fillId="4" borderId="7" xfId="0" applyFont="1" applyFill="1" applyBorder="1" applyAlignment="1">
      <alignment horizontal="center" vertical="center"/>
    </xf>
    <xf numFmtId="0" fontId="15" fillId="4" borderId="4" xfId="0" applyFont="1" applyFill="1" applyBorder="1" applyAlignment="1">
      <alignment horizontal="center" vertical="center"/>
    </xf>
    <xf numFmtId="0" fontId="15" fillId="4" borderId="10"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5" xfId="0" applyFont="1" applyFill="1" applyBorder="1" applyAlignment="1">
      <alignment horizontal="center" vertical="center"/>
    </xf>
    <xf numFmtId="0" fontId="15" fillId="4" borderId="11" xfId="0" applyFont="1" applyFill="1" applyBorder="1" applyAlignment="1">
      <alignment horizontal="center" vertical="center"/>
    </xf>
    <xf numFmtId="0" fontId="15" fillId="4" borderId="9" xfId="0" applyFont="1" applyFill="1" applyBorder="1" applyAlignment="1">
      <alignment horizontal="center" vertical="center"/>
    </xf>
    <xf numFmtId="0" fontId="15" fillId="4" borderId="6" xfId="0" applyFont="1" applyFill="1" applyBorder="1" applyAlignment="1">
      <alignment horizontal="center" vertical="center"/>
    </xf>
    <xf numFmtId="0" fontId="15" fillId="4" borderId="12" xfId="0" applyFont="1" applyFill="1" applyBorder="1" applyAlignment="1">
      <alignment horizontal="center" vertical="center"/>
    </xf>
    <xf numFmtId="0" fontId="15" fillId="4" borderId="15" xfId="0" applyFont="1" applyFill="1" applyBorder="1" applyAlignment="1">
      <alignment horizontal="center" vertical="center"/>
    </xf>
    <xf numFmtId="0" fontId="16" fillId="4" borderId="15" xfId="0" applyFont="1" applyFill="1" applyBorder="1" applyAlignment="1">
      <alignment horizontal="center" vertical="center"/>
    </xf>
    <xf numFmtId="0" fontId="17" fillId="4" borderId="15" xfId="0" applyFont="1" applyFill="1" applyBorder="1" applyAlignment="1">
      <alignment horizontal="center" vertical="center"/>
    </xf>
    <xf numFmtId="3" fontId="18" fillId="4" borderId="15" xfId="0" applyNumberFormat="1" applyFont="1" applyFill="1" applyBorder="1" applyAlignment="1">
      <alignment horizontal="center" vertical="center"/>
    </xf>
    <xf numFmtId="164" fontId="19" fillId="4" borderId="15" xfId="0" applyNumberFormat="1" applyFont="1" applyFill="1" applyBorder="1" applyAlignment="1">
      <alignment horizontal="center" vertical="center"/>
    </xf>
    <xf numFmtId="0" fontId="15" fillId="4" borderId="16" xfId="0" applyFont="1" applyFill="1" applyBorder="1" applyAlignment="1">
      <alignment horizontal="center" vertical="center"/>
    </xf>
    <xf numFmtId="0" fontId="16" fillId="4" borderId="16" xfId="0" applyFont="1" applyFill="1" applyBorder="1" applyAlignment="1">
      <alignment horizontal="center" vertical="center"/>
    </xf>
    <xf numFmtId="0" fontId="17" fillId="4" borderId="16" xfId="0" applyFont="1" applyFill="1" applyBorder="1" applyAlignment="1">
      <alignment horizontal="center" vertical="center"/>
    </xf>
    <xf numFmtId="3" fontId="18" fillId="4" borderId="16" xfId="0" applyNumberFormat="1" applyFont="1" applyFill="1" applyBorder="1" applyAlignment="1">
      <alignment horizontal="center" vertical="center"/>
    </xf>
    <xf numFmtId="164" fontId="19" fillId="4" borderId="16" xfId="0" applyNumberFormat="1" applyFont="1" applyFill="1" applyBorder="1" applyAlignment="1">
      <alignment horizontal="center" vertical="center"/>
    </xf>
    <xf numFmtId="0" fontId="5" fillId="3" borderId="3" xfId="0" applyFont="1" applyFill="1" applyBorder="1" applyAlignment="1">
      <alignment horizontal="center" vertical="center"/>
    </xf>
    <xf numFmtId="0" fontId="5" fillId="2" borderId="13" xfId="0" applyFont="1" applyFill="1" applyBorder="1" applyAlignment="1">
      <alignment horizontal="center" vertical="center"/>
    </xf>
    <xf numFmtId="0" fontId="20" fillId="4" borderId="3" xfId="0" applyFont="1" applyFill="1" applyBorder="1" applyAlignment="1">
      <alignment horizontal="left" vertical="center" wrapText="1"/>
    </xf>
    <xf numFmtId="0" fontId="20" fillId="5" borderId="3" xfId="0" applyFont="1" applyFill="1" applyBorder="1" applyAlignment="1">
      <alignment horizontal="left" vertical="center" wrapText="1"/>
    </xf>
    <xf numFmtId="0" fontId="3" fillId="4" borderId="3" xfId="0" applyFont="1" applyFill="1" applyBorder="1" applyAlignment="1">
      <alignment horizontal="left" vertical="center" wrapText="1"/>
    </xf>
    <xf numFmtId="0" fontId="10" fillId="3" borderId="1" xfId="0" applyFont="1" applyFill="1" applyBorder="1" applyAlignment="1">
      <alignment horizontal="center" vertical="center"/>
    </xf>
    <xf numFmtId="0" fontId="22" fillId="7" borderId="2" xfId="0" applyFont="1" applyFill="1" applyBorder="1" applyAlignment="1">
      <alignment horizontal="center" vertical="center"/>
    </xf>
    <xf numFmtId="0" fontId="23" fillId="7" borderId="2" xfId="0" applyFont="1" applyFill="1" applyBorder="1" applyAlignment="1">
      <alignment horizontal="left" vertical="center" wrapText="1"/>
    </xf>
    <xf numFmtId="0" fontId="23" fillId="7" borderId="2" xfId="0" applyFont="1" applyFill="1" applyBorder="1" applyAlignment="1">
      <alignment horizontal="center" vertical="center"/>
    </xf>
    <xf numFmtId="0" fontId="24" fillId="7" borderId="2" xfId="0" applyFont="1" applyFill="1" applyBorder="1" applyAlignment="1">
      <alignment horizontal="left" vertical="center" wrapText="1"/>
    </xf>
    <xf numFmtId="0" fontId="25" fillId="9" borderId="2" xfId="0" applyFont="1" applyFill="1" applyBorder="1" applyAlignment="1">
      <alignment horizontal="left" vertical="center" wrapText="1"/>
    </xf>
    <xf numFmtId="0" fontId="22" fillId="4" borderId="2" xfId="0" applyFont="1" applyFill="1" applyBorder="1" applyAlignment="1">
      <alignment horizontal="center" vertical="center"/>
    </xf>
    <xf numFmtId="0" fontId="23" fillId="4" borderId="2" xfId="0" applyFont="1" applyFill="1" applyBorder="1" applyAlignment="1">
      <alignment horizontal="left" vertical="center" wrapText="1"/>
    </xf>
    <xf numFmtId="0" fontId="23" fillId="4" borderId="2" xfId="0" applyFont="1" applyFill="1" applyBorder="1" applyAlignment="1">
      <alignment horizontal="center" vertical="center"/>
    </xf>
    <xf numFmtId="0" fontId="24" fillId="4" borderId="2" xfId="0" applyFont="1" applyFill="1" applyBorder="1" applyAlignment="1">
      <alignment horizontal="left" vertical="center" wrapText="1"/>
    </xf>
    <xf numFmtId="0" fontId="25" fillId="10" borderId="2" xfId="0" applyFont="1" applyFill="1" applyBorder="1" applyAlignment="1">
      <alignment horizontal="left" vertical="center" wrapText="1"/>
    </xf>
    <xf numFmtId="0" fontId="26" fillId="11" borderId="17" xfId="0" applyFont="1" applyFill="1" applyBorder="1" applyAlignment="1">
      <alignment horizontal="center" vertical="center" wrapText="1"/>
    </xf>
    <xf numFmtId="0" fontId="26" fillId="11" borderId="17" xfId="0" applyFont="1" applyFill="1" applyBorder="1" applyAlignment="1">
      <alignment horizontal="left" vertical="center" wrapText="1"/>
    </xf>
    <xf numFmtId="0" fontId="27" fillId="6" borderId="17" xfId="0" applyFont="1" applyFill="1" applyBorder="1" applyAlignment="1">
      <alignment horizontal="center" vertical="center" wrapText="1"/>
    </xf>
    <xf numFmtId="0" fontId="27" fillId="6" borderId="17" xfId="0" applyFont="1" applyFill="1" applyBorder="1" applyAlignment="1">
      <alignment horizontal="left" vertical="center" wrapText="1"/>
    </xf>
    <xf numFmtId="0" fontId="28" fillId="12" borderId="17" xfId="0" applyFont="1" applyFill="1" applyBorder="1" applyAlignment="1">
      <alignment horizontal="center" vertical="center" wrapText="1"/>
    </xf>
    <xf numFmtId="0" fontId="28" fillId="12" borderId="17" xfId="0" applyFont="1" applyFill="1" applyBorder="1" applyAlignment="1">
      <alignment horizontal="left" vertical="center" wrapText="1"/>
    </xf>
    <xf numFmtId="0" fontId="28" fillId="13" borderId="17" xfId="0" applyFont="1" applyFill="1" applyBorder="1" applyAlignment="1">
      <alignment horizontal="center" vertical="center" wrapText="1"/>
    </xf>
    <xf numFmtId="0" fontId="28" fillId="13" borderId="17" xfId="0" applyFont="1" applyFill="1" applyBorder="1" applyAlignment="1">
      <alignment horizontal="left" vertical="center" wrapText="1"/>
    </xf>
    <xf numFmtId="0" fontId="29" fillId="8" borderId="17" xfId="0" applyFont="1" applyFill="1" applyBorder="1" applyAlignment="1">
      <alignment horizontal="center" vertical="center" wrapText="1"/>
    </xf>
    <xf numFmtId="0" fontId="29" fillId="8" borderId="17" xfId="0" applyFont="1" applyFill="1" applyBorder="1" applyAlignment="1">
      <alignment horizontal="left" vertical="center" wrapText="1"/>
    </xf>
    <xf numFmtId="0" fontId="30" fillId="2" borderId="0" xfId="0" applyFont="1" applyFill="1" applyAlignment="1">
      <alignment horizontal="center" vertical="center" wrapText="1"/>
    </xf>
    <xf numFmtId="0" fontId="31" fillId="11" borderId="0" xfId="0" applyFont="1" applyFill="1" applyAlignment="1">
      <alignment horizontal="center" vertical="center" wrapText="1"/>
    </xf>
    <xf numFmtId="165" fontId="26" fillId="11" borderId="17" xfId="0" applyNumberFormat="1" applyFont="1" applyFill="1" applyBorder="1" applyAlignment="1">
      <alignment horizontal="center" vertical="center" wrapText="1"/>
    </xf>
    <xf numFmtId="2" fontId="26" fillId="11" borderId="17" xfId="0" applyNumberFormat="1" applyFont="1" applyFill="1" applyBorder="1" applyAlignment="1">
      <alignment horizontal="center" vertical="center" wrapText="1"/>
    </xf>
    <xf numFmtId="0" fontId="32" fillId="6" borderId="17" xfId="0" applyFont="1" applyFill="1" applyBorder="1" applyAlignment="1">
      <alignment horizontal="center" vertical="center" wrapText="1"/>
    </xf>
    <xf numFmtId="165" fontId="27" fillId="6" borderId="17" xfId="0" applyNumberFormat="1" applyFont="1" applyFill="1" applyBorder="1" applyAlignment="1">
      <alignment horizontal="center" vertical="center" wrapText="1"/>
    </xf>
    <xf numFmtId="2" fontId="27" fillId="6" borderId="17" xfId="0" applyNumberFormat="1" applyFont="1" applyFill="1" applyBorder="1" applyAlignment="1">
      <alignment horizontal="center" vertical="center" wrapText="1"/>
    </xf>
    <xf numFmtId="0" fontId="33" fillId="12" borderId="17" xfId="0" applyFont="1" applyFill="1" applyBorder="1" applyAlignment="1">
      <alignment horizontal="center" vertical="center" wrapText="1"/>
    </xf>
    <xf numFmtId="165" fontId="28" fillId="12" borderId="17" xfId="0" applyNumberFormat="1" applyFont="1" applyFill="1" applyBorder="1" applyAlignment="1">
      <alignment horizontal="center" vertical="center" wrapText="1"/>
    </xf>
    <xf numFmtId="2" fontId="28" fillId="12" borderId="17" xfId="0" applyNumberFormat="1" applyFont="1" applyFill="1" applyBorder="1" applyAlignment="1">
      <alignment horizontal="center" vertical="center" wrapText="1"/>
    </xf>
    <xf numFmtId="0" fontId="34" fillId="13" borderId="17" xfId="0" applyFont="1" applyFill="1" applyBorder="1" applyAlignment="1">
      <alignment horizontal="center" vertical="center" wrapText="1"/>
    </xf>
    <xf numFmtId="0" fontId="33" fillId="13" borderId="17" xfId="0" applyFont="1" applyFill="1" applyBorder="1" applyAlignment="1">
      <alignment horizontal="center" vertical="center" wrapText="1"/>
    </xf>
    <xf numFmtId="165" fontId="28" fillId="13" borderId="17" xfId="0" applyNumberFormat="1" applyFont="1" applyFill="1" applyBorder="1" applyAlignment="1">
      <alignment horizontal="center" vertical="center" wrapText="1"/>
    </xf>
    <xf numFmtId="2" fontId="28" fillId="13" borderId="17" xfId="0" applyNumberFormat="1" applyFont="1" applyFill="1" applyBorder="1" applyAlignment="1">
      <alignment horizontal="center" vertical="center" wrapText="1"/>
    </xf>
    <xf numFmtId="165" fontId="29" fillId="8" borderId="17" xfId="0" applyNumberFormat="1" applyFont="1" applyFill="1" applyBorder="1" applyAlignment="1">
      <alignment horizontal="center" vertical="center" wrapText="1"/>
    </xf>
    <xf numFmtId="2" fontId="29" fillId="8" borderId="17" xfId="0" applyNumberFormat="1" applyFont="1" applyFill="1" applyBorder="1" applyAlignment="1">
      <alignment horizontal="center" vertical="center" wrapText="1"/>
    </xf>
    <xf numFmtId="0" fontId="35" fillId="14" borderId="17" xfId="0" applyFont="1" applyFill="1" applyBorder="1" applyAlignment="1">
      <alignment horizontal="center" vertical="center" wrapText="1"/>
    </xf>
    <xf numFmtId="0" fontId="35" fillId="14" borderId="17" xfId="0" applyFont="1" applyFill="1" applyBorder="1" applyAlignment="1">
      <alignment horizontal="left" vertical="center" wrapText="1"/>
    </xf>
    <xf numFmtId="165" fontId="35" fillId="14" borderId="17" xfId="0" applyNumberFormat="1" applyFont="1" applyFill="1" applyBorder="1" applyAlignment="1">
      <alignment horizontal="center" vertical="center" wrapText="1"/>
    </xf>
    <xf numFmtId="2" fontId="35" fillId="14" borderId="17" xfId="0" applyNumberFormat="1" applyFont="1" applyFill="1" applyBorder="1" applyAlignment="1">
      <alignment horizontal="center" vertical="center" wrapText="1"/>
    </xf>
    <xf numFmtId="0" fontId="21" fillId="4" borderId="3" xfId="0" quotePrefix="1" applyNumberFormat="1" applyFont="1" applyFill="1" applyBorder="1" applyAlignment="1">
      <alignment horizontal="center" vertical="center"/>
    </xf>
    <xf numFmtId="0" fontId="6" fillId="0" borderId="3" xfId="0" applyNumberFormat="1" applyFont="1" applyFill="1" applyBorder="1" applyAlignment="1">
      <alignment horizontal="center" vertical="center"/>
    </xf>
    <xf numFmtId="0" fontId="6" fillId="4" borderId="3" xfId="0" applyNumberFormat="1" applyFont="1" applyFill="1" applyBorder="1" applyAlignment="1">
      <alignment horizontal="center" vertical="center"/>
    </xf>
    <xf numFmtId="0" fontId="11" fillId="0" borderId="0" xfId="0" applyFont="1" applyFill="1" applyBorder="1" applyAlignment="1">
      <alignment horizontal="left" vertical="center"/>
    </xf>
    <xf numFmtId="0" fontId="12" fillId="0" borderId="0" xfId="0" applyFont="1" applyFill="1" applyBorder="1"/>
    <xf numFmtId="0" fontId="5" fillId="0" borderId="0" xfId="0" applyFont="1" applyFill="1" applyBorder="1" applyAlignment="1">
      <alignment horizontal="center" vertical="center"/>
    </xf>
    <xf numFmtId="0" fontId="20" fillId="0" borderId="0" xfId="0" applyFont="1" applyFill="1" applyBorder="1" applyAlignment="1">
      <alignment horizontal="left" vertical="center"/>
    </xf>
    <xf numFmtId="165" fontId="6" fillId="0" borderId="0" xfId="0" applyNumberFormat="1" applyFont="1" applyFill="1" applyBorder="1" applyAlignment="1">
      <alignment horizontal="center" vertical="center"/>
    </xf>
    <xf numFmtId="0" fontId="3" fillId="0" borderId="0" xfId="0" applyFont="1" applyFill="1" applyBorder="1" applyAlignment="1">
      <alignment horizontal="left" vertical="center"/>
    </xf>
    <xf numFmtId="165" fontId="5" fillId="0" borderId="0" xfId="0" applyNumberFormat="1" applyFont="1" applyFill="1" applyBorder="1" applyAlignment="1">
      <alignment horizontal="center" vertical="center"/>
    </xf>
    <xf numFmtId="9" fontId="5" fillId="0" borderId="0" xfId="0" applyNumberFormat="1" applyFont="1" applyFill="1" applyBorder="1" applyAlignment="1">
      <alignment horizontal="center" vertical="center"/>
    </xf>
    <xf numFmtId="0" fontId="26" fillId="11" borderId="3" xfId="0" applyFont="1" applyFill="1" applyBorder="1" applyAlignment="1">
      <alignment horizontal="center" vertical="center" wrapText="1"/>
    </xf>
    <xf numFmtId="0" fontId="26" fillId="11" borderId="3" xfId="0" applyFont="1" applyFill="1" applyBorder="1" applyAlignment="1">
      <alignment horizontal="left" vertical="center" wrapText="1"/>
    </xf>
    <xf numFmtId="165" fontId="26" fillId="11" borderId="3" xfId="0" applyNumberFormat="1" applyFont="1" applyFill="1" applyBorder="1" applyAlignment="1">
      <alignment horizontal="center" vertical="center" wrapText="1"/>
    </xf>
    <xf numFmtId="2" fontId="26" fillId="11" borderId="3" xfId="0" applyNumberFormat="1" applyFont="1" applyFill="1" applyBorder="1" applyAlignment="1">
      <alignment horizontal="center" vertical="center" wrapText="1"/>
    </xf>
    <xf numFmtId="0" fontId="32" fillId="6" borderId="3" xfId="0" applyFont="1" applyFill="1" applyBorder="1" applyAlignment="1">
      <alignment horizontal="center" vertical="center" wrapText="1"/>
    </xf>
    <xf numFmtId="0" fontId="27" fillId="6" borderId="3" xfId="0" applyFont="1" applyFill="1" applyBorder="1" applyAlignment="1">
      <alignment horizontal="left" vertical="center" wrapText="1"/>
    </xf>
    <xf numFmtId="0" fontId="27" fillId="6" borderId="3" xfId="0" applyFont="1" applyFill="1" applyBorder="1" applyAlignment="1">
      <alignment horizontal="center" vertical="center" wrapText="1"/>
    </xf>
    <xf numFmtId="165" fontId="27" fillId="6" borderId="3" xfId="0" applyNumberFormat="1" applyFont="1" applyFill="1" applyBorder="1" applyAlignment="1">
      <alignment horizontal="center" vertical="center" wrapText="1"/>
    </xf>
    <xf numFmtId="2" fontId="27" fillId="6" borderId="3" xfId="0" applyNumberFormat="1" applyFont="1" applyFill="1" applyBorder="1" applyAlignment="1">
      <alignment horizontal="center" vertical="center" wrapText="1"/>
    </xf>
    <xf numFmtId="0" fontId="33" fillId="12" borderId="3" xfId="0" applyFont="1" applyFill="1" applyBorder="1" applyAlignment="1">
      <alignment horizontal="center" vertical="center" wrapText="1"/>
    </xf>
    <xf numFmtId="0" fontId="28" fillId="12" borderId="3" xfId="0" applyFont="1" applyFill="1" applyBorder="1" applyAlignment="1">
      <alignment horizontal="left" vertical="center" wrapText="1"/>
    </xf>
    <xf numFmtId="0" fontId="28" fillId="12" borderId="3" xfId="0" applyFont="1" applyFill="1" applyBorder="1" applyAlignment="1">
      <alignment horizontal="center" vertical="center" wrapText="1"/>
    </xf>
    <xf numFmtId="165" fontId="28" fillId="12" borderId="3" xfId="0" applyNumberFormat="1" applyFont="1" applyFill="1" applyBorder="1" applyAlignment="1">
      <alignment horizontal="center" vertical="center" wrapText="1"/>
    </xf>
    <xf numFmtId="2" fontId="28" fillId="12" borderId="3" xfId="0" applyNumberFormat="1" applyFont="1" applyFill="1" applyBorder="1" applyAlignment="1">
      <alignment horizontal="center" vertical="center" wrapText="1"/>
    </xf>
    <xf numFmtId="0" fontId="34" fillId="13" borderId="3" xfId="0" applyFont="1" applyFill="1" applyBorder="1" applyAlignment="1">
      <alignment horizontal="center" vertical="center" wrapText="1"/>
    </xf>
    <xf numFmtId="0" fontId="33" fillId="13" borderId="3" xfId="0" applyFont="1" applyFill="1" applyBorder="1" applyAlignment="1">
      <alignment horizontal="center" vertical="center" wrapText="1"/>
    </xf>
    <xf numFmtId="0" fontId="28" fillId="13" borderId="3" xfId="0" applyFont="1" applyFill="1" applyBorder="1" applyAlignment="1">
      <alignment horizontal="left" vertical="center" wrapText="1"/>
    </xf>
    <xf numFmtId="0" fontId="28" fillId="13" borderId="3" xfId="0" applyFont="1" applyFill="1" applyBorder="1" applyAlignment="1">
      <alignment horizontal="center" vertical="center" wrapText="1"/>
    </xf>
    <xf numFmtId="165" fontId="28" fillId="13" borderId="3" xfId="0" applyNumberFormat="1" applyFont="1" applyFill="1" applyBorder="1" applyAlignment="1">
      <alignment horizontal="center" vertical="center" wrapText="1"/>
    </xf>
    <xf numFmtId="2" fontId="28" fillId="13" borderId="3" xfId="0" applyNumberFormat="1" applyFont="1" applyFill="1" applyBorder="1" applyAlignment="1">
      <alignment horizontal="center" vertical="center" wrapText="1"/>
    </xf>
    <xf numFmtId="0" fontId="26" fillId="11" borderId="18" xfId="0" applyFont="1" applyFill="1" applyBorder="1" applyAlignment="1">
      <alignment horizontal="center" vertical="center" wrapText="1"/>
    </xf>
    <xf numFmtId="0" fontId="11" fillId="0" borderId="0" xfId="0" applyFont="1" applyFill="1" applyBorder="1" applyAlignment="1">
      <alignment horizontal="left" vertical="center" wrapText="1"/>
    </xf>
    <xf numFmtId="0" fontId="12" fillId="0" borderId="0" xfId="0" applyFont="1" applyFill="1" applyBorder="1" applyAlignment="1">
      <alignment wrapText="1"/>
    </xf>
    <xf numFmtId="0" fontId="10"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20" fillId="0" borderId="0" xfId="0" applyFont="1" applyFill="1" applyBorder="1" applyAlignment="1">
      <alignment horizontal="left" vertical="center" wrapText="1"/>
    </xf>
    <xf numFmtId="0" fontId="6" fillId="0" borderId="0" xfId="0" applyFont="1" applyFill="1" applyBorder="1" applyAlignment="1">
      <alignment horizontal="center" vertical="center" wrapText="1"/>
    </xf>
    <xf numFmtId="0" fontId="6" fillId="0" borderId="0" xfId="0" applyFont="1" applyFill="1" applyBorder="1" applyAlignment="1">
      <alignment horizontal="left" vertical="center" wrapText="1"/>
    </xf>
    <xf numFmtId="0" fontId="10" fillId="3" borderId="3" xfId="0" applyFont="1" applyFill="1" applyBorder="1" applyAlignment="1">
      <alignment horizontal="center" vertical="center"/>
    </xf>
    <xf numFmtId="0" fontId="36" fillId="11" borderId="17" xfId="0" applyFont="1" applyFill="1" applyBorder="1" applyAlignment="1">
      <alignment horizontal="center" vertical="center" wrapText="1"/>
    </xf>
    <xf numFmtId="0" fontId="37" fillId="15" borderId="17" xfId="0" applyFont="1" applyFill="1" applyBorder="1" applyAlignment="1">
      <alignment horizontal="left" vertical="center" wrapText="1"/>
    </xf>
    <xf numFmtId="0" fontId="38" fillId="12" borderId="17" xfId="0" applyFont="1" applyFill="1" applyBorder="1" applyAlignment="1">
      <alignment horizontal="center" vertical="center" wrapText="1"/>
    </xf>
    <xf numFmtId="0" fontId="39" fillId="0" borderId="17" xfId="0" applyFont="1" applyFill="1" applyBorder="1"/>
    <xf numFmtId="0" fontId="40" fillId="16" borderId="17" xfId="0" applyFont="1" applyFill="1" applyBorder="1" applyAlignment="1">
      <alignment horizontal="center" vertical="center" wrapText="1"/>
    </xf>
    <xf numFmtId="0" fontId="41" fillId="17" borderId="17" xfId="0" applyFont="1" applyFill="1" applyBorder="1" applyAlignment="1">
      <alignment horizontal="center" vertical="center" wrapText="1"/>
    </xf>
    <xf numFmtId="0" fontId="42" fillId="18" borderId="17" xfId="0" applyFont="1" applyFill="1" applyBorder="1" applyAlignment="1">
      <alignment horizontal="center" vertical="center" wrapText="1"/>
    </xf>
    <xf numFmtId="0" fontId="43" fillId="19" borderId="17" xfId="0" applyFont="1" applyFill="1" applyBorder="1" applyAlignment="1">
      <alignment horizontal="center" vertical="center" wrapText="1"/>
    </xf>
  </cellXfs>
  <cellStyles count="1">
    <cellStyle name="Normal" xfId="0" builtinId="0"/>
  </cellStyles>
  <dxfs count="1">
    <dxf>
      <font>
        <b/>
        <i val="0"/>
        <strike val="0"/>
        <color theme="9" tint="-0.24994659260841701"/>
      </font>
      <fill>
        <patternFill>
          <bgColor theme="9" tint="0.79998168889431442"/>
        </patternFill>
      </fill>
    </dxf>
  </dxfs>
  <tableStyles count="0" defaultTableStyle="TableStyleMedium9" defaultPivotStyle="PivotStyleLight16"/>
  <colors>
    <mruColors>
      <color rgb="FF2E74B6"/>
      <color rgb="FFBDD7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hoangharry/mh_code/internships/VNG_ZingPlayStudio/ZeroTrust.sh/docs/ZeroTrust_Internship_Roadmap.xlsx" TargetMode="External"/><Relationship Id="rId1" Type="http://schemas.openxmlformats.org/officeDocument/2006/relationships/externalLinkPath" Target="ZeroTrust_Internship_Roadma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G1 - Foundation"/>
      <sheetName val="G2 - Path A"/>
      <sheetName val="G3 - Path B"/>
      <sheetName val="G4 - Integration"/>
      <sheetName val="Research"/>
      <sheetName val="Constraints"/>
      <sheetName val="Research Papers"/>
    </sheetNames>
    <sheetDataSet>
      <sheetData sheetId="0" refreshError="1"/>
      <sheetData sheetId="1">
        <row r="4">
          <cell r="L4" t="str">
            <v>Owner</v>
          </cell>
        </row>
        <row r="6">
          <cell r="L6" t="str">
            <v>Hoang</v>
          </cell>
        </row>
        <row r="7">
          <cell r="L7" t="str">
            <v>Hoang</v>
          </cell>
        </row>
        <row r="8">
          <cell r="L8" t="str">
            <v>Hoang</v>
          </cell>
        </row>
        <row r="9">
          <cell r="L9" t="str">
            <v>Hoang</v>
          </cell>
        </row>
        <row r="10">
          <cell r="L10" t="str">
            <v>Hoang</v>
          </cell>
        </row>
        <row r="11">
          <cell r="L11" t="str">
            <v>Hoang</v>
          </cell>
        </row>
        <row r="12">
          <cell r="L12" t="str">
            <v>Hoang</v>
          </cell>
        </row>
        <row r="13">
          <cell r="L13" t="str">
            <v>Hoang</v>
          </cell>
        </row>
        <row r="14">
          <cell r="L14" t="str">
            <v>Hoang</v>
          </cell>
        </row>
        <row r="17">
          <cell r="L17" t="str">
            <v>Hoang</v>
          </cell>
        </row>
        <row r="18">
          <cell r="L18" t="str">
            <v>Hoang</v>
          </cell>
        </row>
        <row r="19">
          <cell r="L19" t="str">
            <v>Hoang</v>
          </cell>
        </row>
        <row r="20">
          <cell r="L20" t="str">
            <v>Hoang</v>
          </cell>
        </row>
        <row r="21">
          <cell r="L21" t="str">
            <v>Hoang</v>
          </cell>
        </row>
        <row r="22">
          <cell r="L22" t="str">
            <v>Hoang</v>
          </cell>
        </row>
        <row r="23">
          <cell r="L23" t="str">
            <v>Hoang</v>
          </cell>
        </row>
        <row r="26">
          <cell r="L26" t="str">
            <v>Hoang</v>
          </cell>
        </row>
        <row r="27">
          <cell r="L27" t="str">
            <v>Hoang</v>
          </cell>
        </row>
        <row r="28">
          <cell r="L28" t="str">
            <v>Hoang</v>
          </cell>
        </row>
        <row r="29">
          <cell r="L29" t="str">
            <v>Hoang</v>
          </cell>
        </row>
        <row r="30">
          <cell r="L30" t="str">
            <v>Hoang</v>
          </cell>
        </row>
        <row r="31">
          <cell r="L31" t="str">
            <v>Hoang</v>
          </cell>
        </row>
        <row r="32">
          <cell r="L32" t="str">
            <v>Hoang</v>
          </cell>
        </row>
        <row r="33">
          <cell r="L33" t="str">
            <v>Hoang</v>
          </cell>
        </row>
        <row r="34">
          <cell r="L34" t="str">
            <v>Hoang</v>
          </cell>
        </row>
        <row r="37">
          <cell r="L37" t="str">
            <v>Hoang</v>
          </cell>
        </row>
        <row r="38">
          <cell r="L38" t="str">
            <v>Hoang</v>
          </cell>
        </row>
        <row r="39">
          <cell r="L39" t="str">
            <v>Hoang</v>
          </cell>
        </row>
        <row r="40">
          <cell r="L40" t="str">
            <v>Hoang</v>
          </cell>
        </row>
        <row r="41">
          <cell r="L41" t="str">
            <v>Hoang</v>
          </cell>
        </row>
      </sheetData>
      <sheetData sheetId="2">
        <row r="4">
          <cell r="L4" t="str">
            <v>Owner</v>
          </cell>
        </row>
        <row r="6">
          <cell r="L6" t="str">
            <v>Hoang</v>
          </cell>
        </row>
        <row r="7">
          <cell r="L7" t="str">
            <v>Hoang</v>
          </cell>
        </row>
        <row r="8">
          <cell r="L8" t="str">
            <v>Hoang</v>
          </cell>
        </row>
        <row r="9">
          <cell r="L9" t="str">
            <v>Hoang</v>
          </cell>
        </row>
        <row r="10">
          <cell r="L10" t="str">
            <v>Hoang</v>
          </cell>
        </row>
        <row r="11">
          <cell r="L11" t="str">
            <v>Hoang</v>
          </cell>
        </row>
        <row r="12">
          <cell r="L12" t="str">
            <v>Hoang</v>
          </cell>
        </row>
        <row r="13">
          <cell r="L13" t="str">
            <v>Hoang</v>
          </cell>
        </row>
        <row r="14">
          <cell r="L14" t="str">
            <v>Hoang</v>
          </cell>
        </row>
        <row r="17">
          <cell r="L17" t="str">
            <v>Hoang</v>
          </cell>
        </row>
        <row r="18">
          <cell r="L18" t="str">
            <v>Hoang</v>
          </cell>
        </row>
        <row r="19">
          <cell r="L19" t="str">
            <v>Hoang</v>
          </cell>
        </row>
        <row r="20">
          <cell r="L20" t="str">
            <v>Hoang</v>
          </cell>
        </row>
        <row r="21">
          <cell r="L21" t="str">
            <v>Hoang</v>
          </cell>
        </row>
        <row r="22">
          <cell r="L22" t="str">
            <v>Hoang</v>
          </cell>
        </row>
        <row r="23">
          <cell r="L23" t="str">
            <v>Hoang</v>
          </cell>
        </row>
        <row r="26">
          <cell r="L26" t="str">
            <v>Hoang</v>
          </cell>
        </row>
        <row r="27">
          <cell r="L27" t="str">
            <v>Hoang</v>
          </cell>
        </row>
        <row r="28">
          <cell r="L28" t="str">
            <v>Hoang</v>
          </cell>
        </row>
        <row r="29">
          <cell r="L29" t="str">
            <v>Hoang</v>
          </cell>
        </row>
        <row r="30">
          <cell r="L30" t="str">
            <v>Hoang</v>
          </cell>
        </row>
        <row r="31">
          <cell r="L31" t="str">
            <v>Hoang</v>
          </cell>
        </row>
        <row r="32">
          <cell r="L32" t="str">
            <v>Hoang</v>
          </cell>
        </row>
        <row r="33">
          <cell r="L33" t="str">
            <v>Hoang</v>
          </cell>
        </row>
        <row r="34">
          <cell r="L34" t="str">
            <v>Hoang</v>
          </cell>
        </row>
        <row r="35">
          <cell r="L35" t="str">
            <v>Hoang</v>
          </cell>
        </row>
        <row r="36">
          <cell r="L36" t="str">
            <v>Hoang</v>
          </cell>
        </row>
        <row r="39">
          <cell r="L39" t="str">
            <v>Hoang</v>
          </cell>
        </row>
        <row r="40">
          <cell r="L40" t="str">
            <v>Hoang</v>
          </cell>
        </row>
        <row r="41">
          <cell r="L41" t="str">
            <v>Hoang</v>
          </cell>
        </row>
        <row r="42">
          <cell r="L42" t="str">
            <v>Hoang</v>
          </cell>
        </row>
        <row r="43">
          <cell r="L43" t="str">
            <v>Hoang</v>
          </cell>
        </row>
      </sheetData>
      <sheetData sheetId="3">
        <row r="4">
          <cell r="L4" t="str">
            <v>Owner</v>
          </cell>
        </row>
        <row r="6">
          <cell r="L6" t="str">
            <v>Hoang</v>
          </cell>
        </row>
        <row r="7">
          <cell r="L7" t="str">
            <v>Hoang</v>
          </cell>
        </row>
        <row r="8">
          <cell r="L8" t="str">
            <v>Hoang</v>
          </cell>
        </row>
        <row r="9">
          <cell r="L9" t="str">
            <v>Hoang</v>
          </cell>
        </row>
        <row r="10">
          <cell r="L10" t="str">
            <v>Hoang</v>
          </cell>
        </row>
        <row r="11">
          <cell r="L11" t="str">
            <v>Hoang</v>
          </cell>
        </row>
        <row r="12">
          <cell r="L12" t="str">
            <v>Hoang</v>
          </cell>
        </row>
        <row r="13">
          <cell r="L13" t="str">
            <v>Hoang</v>
          </cell>
        </row>
        <row r="16">
          <cell r="L16" t="str">
            <v>Hoang</v>
          </cell>
        </row>
        <row r="17">
          <cell r="L17" t="str">
            <v>Hoang</v>
          </cell>
        </row>
        <row r="18">
          <cell r="L18" t="str">
            <v>Hoang</v>
          </cell>
        </row>
        <row r="19">
          <cell r="L19" t="str">
            <v>Hoang</v>
          </cell>
        </row>
        <row r="20">
          <cell r="L20" t="str">
            <v>Hoang</v>
          </cell>
        </row>
        <row r="21">
          <cell r="L21" t="str">
            <v>Hoang</v>
          </cell>
        </row>
        <row r="22">
          <cell r="L22" t="str">
            <v>Hoang</v>
          </cell>
        </row>
        <row r="23">
          <cell r="L23" t="str">
            <v>Hoang</v>
          </cell>
        </row>
        <row r="26">
          <cell r="L26" t="str">
            <v>Hoang</v>
          </cell>
        </row>
        <row r="27">
          <cell r="L27" t="str">
            <v>Hoang</v>
          </cell>
        </row>
        <row r="28">
          <cell r="L28" t="str">
            <v>Hoang</v>
          </cell>
        </row>
        <row r="29">
          <cell r="L29" t="str">
            <v>Hoang</v>
          </cell>
        </row>
        <row r="30">
          <cell r="L30" t="str">
            <v>Hoang</v>
          </cell>
        </row>
        <row r="31">
          <cell r="L31" t="str">
            <v>Hoang</v>
          </cell>
        </row>
        <row r="32">
          <cell r="L32" t="str">
            <v>Hoang</v>
          </cell>
        </row>
        <row r="33">
          <cell r="L33" t="str">
            <v>Hoang</v>
          </cell>
        </row>
        <row r="36">
          <cell r="L36" t="str">
            <v>Hoang</v>
          </cell>
        </row>
        <row r="37">
          <cell r="L37" t="str">
            <v>Hoang</v>
          </cell>
        </row>
        <row r="38">
          <cell r="L38" t="str">
            <v>Hoang</v>
          </cell>
        </row>
        <row r="39">
          <cell r="L39" t="str">
            <v>Hoang</v>
          </cell>
        </row>
        <row r="40">
          <cell r="L40" t="str">
            <v>Hoang</v>
          </cell>
        </row>
        <row r="41">
          <cell r="L41" t="str">
            <v>Hoang</v>
          </cell>
        </row>
        <row r="42">
          <cell r="L42" t="str">
            <v>Hoang</v>
          </cell>
        </row>
        <row r="43">
          <cell r="L43" t="str">
            <v>Hoang</v>
          </cell>
        </row>
        <row r="44">
          <cell r="L44" t="str">
            <v>Hoang</v>
          </cell>
        </row>
      </sheetData>
      <sheetData sheetId="4">
        <row r="4">
          <cell r="L4" t="str">
            <v>Owner</v>
          </cell>
        </row>
        <row r="6">
          <cell r="L6" t="str">
            <v>Hoang</v>
          </cell>
        </row>
        <row r="7">
          <cell r="L7" t="str">
            <v>Hoang</v>
          </cell>
        </row>
        <row r="8">
          <cell r="L8" t="str">
            <v>Hoang</v>
          </cell>
        </row>
        <row r="9">
          <cell r="L9" t="str">
            <v>Hoang</v>
          </cell>
        </row>
        <row r="10">
          <cell r="L10" t="str">
            <v>Hoang</v>
          </cell>
        </row>
        <row r="11">
          <cell r="L11" t="str">
            <v>Hoang</v>
          </cell>
        </row>
        <row r="14">
          <cell r="L14" t="str">
            <v>Hoang</v>
          </cell>
        </row>
        <row r="15">
          <cell r="L15" t="str">
            <v>Hoang</v>
          </cell>
        </row>
        <row r="16">
          <cell r="L16" t="str">
            <v>Hoang</v>
          </cell>
        </row>
        <row r="17">
          <cell r="L17" t="str">
            <v>Hoang</v>
          </cell>
        </row>
        <row r="18">
          <cell r="L18" t="str">
            <v>Hoang</v>
          </cell>
        </row>
        <row r="21">
          <cell r="L21" t="str">
            <v>Hoang</v>
          </cell>
        </row>
        <row r="22">
          <cell r="L22" t="str">
            <v>Hoang</v>
          </cell>
        </row>
        <row r="23">
          <cell r="L23" t="str">
            <v>Hoang</v>
          </cell>
        </row>
        <row r="24">
          <cell r="L24" t="str">
            <v>Hoang</v>
          </cell>
        </row>
        <row r="25">
          <cell r="L25" t="str">
            <v>Hoang</v>
          </cell>
        </row>
        <row r="28">
          <cell r="L28" t="str">
            <v>Hoang</v>
          </cell>
        </row>
        <row r="29">
          <cell r="L29" t="str">
            <v>Hoang</v>
          </cell>
        </row>
        <row r="30">
          <cell r="L30" t="str">
            <v>Hoang</v>
          </cell>
        </row>
        <row r="31">
          <cell r="L31" t="str">
            <v>Hoang</v>
          </cell>
        </row>
        <row r="32">
          <cell r="L32" t="str">
            <v>Hoang</v>
          </cell>
        </row>
      </sheetData>
      <sheetData sheetId="5">
        <row r="4">
          <cell r="L4" t="str">
            <v>Owner</v>
          </cell>
        </row>
        <row r="6">
          <cell r="L6" t="str">
            <v>Hoang</v>
          </cell>
        </row>
        <row r="7">
          <cell r="L7" t="str">
            <v>Hoang</v>
          </cell>
        </row>
        <row r="8">
          <cell r="L8" t="str">
            <v>Hoang</v>
          </cell>
        </row>
        <row r="9">
          <cell r="L9" t="str">
            <v>Hoang</v>
          </cell>
        </row>
        <row r="10">
          <cell r="L10" t="str">
            <v>Hoang</v>
          </cell>
        </row>
        <row r="13">
          <cell r="L13" t="str">
            <v>Hoang</v>
          </cell>
        </row>
        <row r="14">
          <cell r="L14" t="str">
            <v>Hoang</v>
          </cell>
        </row>
        <row r="15">
          <cell r="L15" t="str">
            <v>Hoang</v>
          </cell>
        </row>
        <row r="16">
          <cell r="L16" t="str">
            <v>Hoang</v>
          </cell>
        </row>
        <row r="17">
          <cell r="L17" t="str">
            <v>Hoang</v>
          </cell>
        </row>
        <row r="20">
          <cell r="L20" t="str">
            <v>Hoang</v>
          </cell>
        </row>
        <row r="21">
          <cell r="L21" t="str">
            <v>Hoang</v>
          </cell>
        </row>
        <row r="22">
          <cell r="L22" t="str">
            <v>Hoang</v>
          </cell>
        </row>
        <row r="23">
          <cell r="L23" t="str">
            <v>Hoang</v>
          </cell>
        </row>
        <row r="24">
          <cell r="L24" t="str">
            <v>Hoang</v>
          </cell>
        </row>
        <row r="27">
          <cell r="L27" t="str">
            <v>Hoang</v>
          </cell>
        </row>
        <row r="28">
          <cell r="L28" t="str">
            <v>Hoang</v>
          </cell>
        </row>
        <row r="29">
          <cell r="L29" t="str">
            <v>Hoang</v>
          </cell>
        </row>
        <row r="30">
          <cell r="L30" t="str">
            <v>Hoang</v>
          </cell>
        </row>
        <row r="31">
          <cell r="L31" t="str">
            <v>Hoang</v>
          </cell>
        </row>
        <row r="34">
          <cell r="L34" t="str">
            <v>Hoang</v>
          </cell>
        </row>
        <row r="35">
          <cell r="L35" t="str">
            <v>Hoang</v>
          </cell>
        </row>
        <row r="36">
          <cell r="L36" t="str">
            <v>Hoang</v>
          </cell>
        </row>
        <row r="37">
          <cell r="L37" t="str">
            <v>Hoang</v>
          </cell>
        </row>
        <row r="38">
          <cell r="L38" t="str">
            <v>Hoang</v>
          </cell>
        </row>
        <row r="41">
          <cell r="L41" t="str">
            <v>Hoang</v>
          </cell>
        </row>
        <row r="42">
          <cell r="L42" t="str">
            <v>Hoang</v>
          </cell>
        </row>
        <row r="43">
          <cell r="L43" t="str">
            <v>Hoang</v>
          </cell>
        </row>
        <row r="44">
          <cell r="L44" t="str">
            <v>Hoang</v>
          </cell>
        </row>
        <row r="45">
          <cell r="L45" t="str">
            <v>Hoang</v>
          </cell>
        </row>
      </sheetData>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Y54"/>
  <sheetViews>
    <sheetView showGridLines="0" tabSelected="1" workbookViewId="0">
      <pane ySplit="3" topLeftCell="A4" activePane="bottomLeft" state="frozen"/>
      <selection pane="bottomLeft" activeCell="H15" sqref="H15:J15"/>
    </sheetView>
  </sheetViews>
  <sheetFormatPr baseColWidth="10" defaultColWidth="8.83203125" defaultRowHeight="15" zeroHeight="1" x14ac:dyDescent="0.2"/>
  <cols>
    <col min="1" max="1" width="5.83203125" customWidth="1"/>
    <col min="2" max="2" width="30.83203125" customWidth="1"/>
    <col min="3" max="6" width="20.83203125" customWidth="1"/>
    <col min="7" max="7" width="5.83203125" customWidth="1"/>
    <col min="8" max="8" width="20.83203125" customWidth="1"/>
    <col min="9" max="15" width="12.83203125" customWidth="1"/>
  </cols>
  <sheetData>
    <row r="1" spans="2:25" ht="25" customHeight="1" x14ac:dyDescent="0.2"/>
    <row r="2" spans="2:25" ht="56" customHeight="1" x14ac:dyDescent="0.2">
      <c r="B2" s="9" t="s">
        <v>0</v>
      </c>
      <c r="C2" s="9"/>
      <c r="D2" s="9"/>
      <c r="E2" s="9"/>
      <c r="F2" s="9"/>
      <c r="G2" s="9"/>
      <c r="H2" s="9"/>
      <c r="I2" s="9"/>
      <c r="J2" s="9"/>
      <c r="K2" s="9"/>
      <c r="L2" s="9"/>
      <c r="M2" s="9"/>
      <c r="N2" s="9"/>
      <c r="O2" s="9"/>
    </row>
    <row r="3" spans="2:25" ht="22" customHeight="1" x14ac:dyDescent="0.2">
      <c r="B3" s="10" t="s">
        <v>634</v>
      </c>
      <c r="C3" s="10"/>
      <c r="D3" s="10"/>
      <c r="E3" s="10"/>
      <c r="F3" s="10"/>
      <c r="G3" s="10"/>
      <c r="H3" s="10"/>
      <c r="I3" s="10"/>
      <c r="J3" s="10"/>
      <c r="K3" s="10"/>
      <c r="L3" s="10"/>
      <c r="M3" s="10"/>
      <c r="N3" s="10"/>
      <c r="O3" s="10"/>
    </row>
    <row r="4" spans="2:25" s="6" customFormat="1" ht="20" customHeight="1" x14ac:dyDescent="0.2"/>
    <row r="5" spans="2:25" ht="35" customHeight="1" x14ac:dyDescent="0.3">
      <c r="B5" s="7" t="s">
        <v>1</v>
      </c>
      <c r="C5" s="8"/>
      <c r="D5" s="8"/>
      <c r="E5" s="8"/>
      <c r="F5" s="8"/>
      <c r="G5" s="11"/>
      <c r="H5" s="7" t="s">
        <v>635</v>
      </c>
      <c r="I5" s="8"/>
      <c r="J5" s="8"/>
      <c r="K5" s="8"/>
      <c r="L5" s="8"/>
      <c r="M5" s="7"/>
      <c r="N5" s="8"/>
      <c r="O5" s="8"/>
      <c r="P5" s="18"/>
      <c r="Q5" s="18"/>
      <c r="R5" s="18"/>
    </row>
    <row r="6" spans="2:25" ht="58" customHeight="1" x14ac:dyDescent="0.2">
      <c r="B6" s="21" t="s">
        <v>2</v>
      </c>
      <c r="C6" s="22" t="s">
        <v>3</v>
      </c>
      <c r="D6" s="23" t="s">
        <v>4</v>
      </c>
      <c r="E6" s="21" t="s">
        <v>5</v>
      </c>
      <c r="F6" s="22" t="s">
        <v>6</v>
      </c>
      <c r="G6" s="12"/>
      <c r="H6" s="126" t="s">
        <v>7</v>
      </c>
      <c r="I6" s="126" t="s">
        <v>1036</v>
      </c>
      <c r="J6" s="126" t="s">
        <v>1037</v>
      </c>
      <c r="K6" s="126" t="s">
        <v>1038</v>
      </c>
      <c r="L6" s="126" t="s">
        <v>1039</v>
      </c>
      <c r="M6" s="126" t="s">
        <v>1040</v>
      </c>
      <c r="N6" s="126" t="s">
        <v>1041</v>
      </c>
      <c r="O6" s="126" t="s">
        <v>1042</v>
      </c>
      <c r="P6" s="18"/>
      <c r="Q6" s="18"/>
      <c r="R6" s="18"/>
    </row>
    <row r="7" spans="2:25" ht="25" customHeight="1" x14ac:dyDescent="0.2">
      <c r="B7" s="24"/>
      <c r="C7" s="25"/>
      <c r="D7" s="26"/>
      <c r="E7" s="24"/>
      <c r="F7" s="25"/>
      <c r="G7" s="12"/>
      <c r="H7" s="127" t="s">
        <v>1043</v>
      </c>
      <c r="I7" s="128"/>
      <c r="J7" s="128"/>
      <c r="K7" s="129"/>
      <c r="L7" s="129"/>
      <c r="M7" s="129"/>
      <c r="N7" s="129"/>
      <c r="O7" s="129"/>
      <c r="P7" s="18"/>
      <c r="Q7" s="18"/>
      <c r="R7" s="18"/>
    </row>
    <row r="8" spans="2:25" ht="25" customHeight="1" x14ac:dyDescent="0.2">
      <c r="B8" s="27"/>
      <c r="C8" s="28"/>
      <c r="D8" s="29"/>
      <c r="E8" s="27"/>
      <c r="F8" s="28"/>
      <c r="G8" s="12"/>
      <c r="H8" s="127" t="s">
        <v>1044</v>
      </c>
      <c r="I8" s="129"/>
      <c r="J8" s="129"/>
      <c r="K8" s="130"/>
      <c r="L8" s="130"/>
      <c r="M8" s="130"/>
      <c r="N8" s="129"/>
      <c r="O8" s="129"/>
      <c r="P8" s="18"/>
      <c r="Q8" s="18"/>
      <c r="R8" s="18"/>
    </row>
    <row r="9" spans="2:25" ht="25" customHeight="1" x14ac:dyDescent="0.2">
      <c r="B9" s="30">
        <f>COUNTIF('G1 - Foundation'!C:C,"TASK")+COUNTIF('G2 - Path A'!C:C,"TASK")+COUNTIF('G3 - Path B'!C:C,"TASK")+COUNTIF('G4 - Integration'!C:C,"TASK")+COUNTIF(Research!C:C,"TASK")</f>
        <v>146</v>
      </c>
      <c r="C9" s="31">
        <f>COUNTIFS('G1 - Foundation'!C:C,"TASK",'G1 - Foundation'!K:K,"Complete")+COUNTIFS('G2 - Path A'!C:C,"TASK",'G2 - Path A'!K:K,"Complete")+COUNTIFS('G3 - Path B'!C:C,"TASK",'G3 - Path B'!K:K,"Complete")+COUNTIFS('G4 - Integration'!C:C,"TASK",'G4 - Integration'!K:K,"Complete")+COUNTIFS(Research!C:C,"TASK",Research!K:K,"Complete")</f>
        <v>0</v>
      </c>
      <c r="D9" s="32">
        <f>COUNTIFS('G1 - Foundation'!C:C,"TASK",'G1 - Foundation'!K:K,"In Progress")+COUNTIFS('G2 - Path A'!C:C,"TASK",'G2 - Path A'!K:K,"In Progress")+COUNTIFS('G3 - Path B'!C:C,"TASK",'G3 - Path B'!K:K,"In Progress")+COUNTIFS('G4 - Integration'!C:C,"TASK",'G4 - Integration'!K:K,"In Progress")+COUNTIFS(Research!C:C,"TASK",Research!K:K,"In Progress")</f>
        <v>3</v>
      </c>
      <c r="E9" s="33">
        <f ca="1">DATE(2026,8,8)-TODAY()</f>
        <v>57</v>
      </c>
      <c r="F9" s="34">
        <f>C9/B9</f>
        <v>0</v>
      </c>
      <c r="G9" s="13"/>
      <c r="H9" s="127" t="s">
        <v>1045</v>
      </c>
      <c r="I9" s="129"/>
      <c r="J9" s="129"/>
      <c r="K9" s="129"/>
      <c r="L9" s="129"/>
      <c r="M9" s="129"/>
      <c r="N9" s="131"/>
      <c r="O9" s="131"/>
      <c r="P9" s="18"/>
      <c r="Q9" s="18"/>
      <c r="R9" s="18"/>
    </row>
    <row r="10" spans="2:25" ht="25" customHeight="1" x14ac:dyDescent="0.2">
      <c r="B10" s="35"/>
      <c r="C10" s="36"/>
      <c r="D10" s="37"/>
      <c r="E10" s="38"/>
      <c r="F10" s="39"/>
      <c r="G10" s="6"/>
      <c r="H10" s="127" t="s">
        <v>1046</v>
      </c>
      <c r="I10" s="129"/>
      <c r="J10" s="129"/>
      <c r="K10" s="129"/>
      <c r="L10" s="129"/>
      <c r="M10" s="129"/>
      <c r="N10" s="129"/>
      <c r="O10" s="132"/>
      <c r="P10" s="18"/>
      <c r="Q10" s="18"/>
      <c r="R10" s="18"/>
      <c r="S10" s="18"/>
      <c r="T10" s="18"/>
      <c r="U10" s="18"/>
      <c r="V10" s="18"/>
      <c r="W10" s="18"/>
      <c r="X10" s="18"/>
      <c r="Y10" s="18"/>
    </row>
    <row r="11" spans="2:25" s="6" customFormat="1" ht="20" customHeight="1" x14ac:dyDescent="0.2">
      <c r="C11" s="20"/>
      <c r="D11" s="20"/>
      <c r="E11" s="20"/>
      <c r="H11" s="127" t="s">
        <v>1047</v>
      </c>
      <c r="I11" s="133"/>
      <c r="J11" s="133"/>
      <c r="K11" s="133"/>
      <c r="L11" s="133"/>
      <c r="M11" s="133"/>
      <c r="N11" s="133"/>
      <c r="O11" s="133"/>
      <c r="P11" s="19"/>
      <c r="Q11" s="19"/>
      <c r="R11" s="19"/>
      <c r="S11" s="19"/>
      <c r="T11" s="19"/>
      <c r="U11" s="19"/>
      <c r="V11" s="19"/>
      <c r="W11" s="19"/>
      <c r="X11" s="19"/>
      <c r="Y11" s="19"/>
    </row>
    <row r="12" spans="2:25" ht="35" customHeight="1" x14ac:dyDescent="0.3">
      <c r="B12" s="7" t="s">
        <v>1030</v>
      </c>
      <c r="C12" s="8"/>
      <c r="D12" s="8"/>
      <c r="E12" s="8"/>
      <c r="F12" s="8"/>
      <c r="G12" s="17"/>
      <c r="H12" s="89"/>
      <c r="I12" s="90"/>
      <c r="J12" s="90"/>
      <c r="K12" s="90"/>
      <c r="L12" s="90"/>
      <c r="M12" s="18"/>
      <c r="N12" s="18"/>
      <c r="O12" s="18"/>
      <c r="P12" s="18"/>
      <c r="Q12" s="18"/>
      <c r="R12" s="18"/>
      <c r="S12" s="18"/>
      <c r="T12" s="18"/>
      <c r="U12" s="18"/>
      <c r="V12" s="18"/>
      <c r="W12" s="18"/>
      <c r="X12" s="18"/>
      <c r="Y12" s="18"/>
    </row>
    <row r="13" spans="2:25" ht="25" customHeight="1" x14ac:dyDescent="0.2">
      <c r="B13" s="125" t="s">
        <v>9</v>
      </c>
      <c r="C13" s="40" t="s">
        <v>15</v>
      </c>
      <c r="D13" s="40" t="s">
        <v>13</v>
      </c>
      <c r="E13" s="40" t="s">
        <v>18</v>
      </c>
      <c r="F13" s="40" t="s">
        <v>1031</v>
      </c>
      <c r="G13" s="15"/>
      <c r="H13" s="91"/>
      <c r="I13" s="91"/>
      <c r="J13" s="91"/>
      <c r="K13" s="15"/>
      <c r="L13" s="15"/>
      <c r="M13" s="18"/>
      <c r="N13" s="18"/>
      <c r="O13" s="18"/>
      <c r="P13" s="18"/>
      <c r="Q13" s="18"/>
      <c r="R13" s="18"/>
      <c r="S13" s="18"/>
      <c r="T13" s="18"/>
      <c r="U13" s="18"/>
      <c r="V13" s="18"/>
      <c r="W13" s="18"/>
      <c r="X13" s="18"/>
      <c r="Y13" s="18"/>
    </row>
    <row r="14" spans="2:25" ht="40" customHeight="1" x14ac:dyDescent="0.2">
      <c r="B14" s="42" t="s">
        <v>1032</v>
      </c>
      <c r="C14" s="86">
        <f>COUNTIFS('G1 - Foundation'!C:C,"TASK",'G1 - Foundation'!K:K,"Not Started")</f>
        <v>28</v>
      </c>
      <c r="D14" s="86">
        <f>COUNTIFS('G1 - Foundation'!C:C,"TASK",'G1 - Foundation'!K:K,"In Progress")</f>
        <v>2</v>
      </c>
      <c r="E14" s="86">
        <f>COUNTIFS('G1 - Foundation'!D:D,"TASK",'[1]G1 - Foundation'!L:L,"Complete")</f>
        <v>0</v>
      </c>
      <c r="F14" s="86">
        <f>COUNTIFS('G1 - Foundation'!D:D,"TASK",'[1]G1 - Foundation'!L:L,"Blocked")</f>
        <v>0</v>
      </c>
      <c r="G14" s="14"/>
      <c r="H14" s="92"/>
      <c r="I14" s="92"/>
      <c r="J14" s="92"/>
      <c r="K14" s="93"/>
      <c r="L14" s="14"/>
      <c r="M14" s="18"/>
      <c r="N14" s="18"/>
      <c r="O14" s="18"/>
      <c r="P14" s="18"/>
      <c r="Q14" s="18"/>
      <c r="R14" s="18"/>
      <c r="S14" s="18"/>
      <c r="T14" s="18"/>
      <c r="U14" s="18"/>
      <c r="V14" s="18"/>
      <c r="W14" s="18"/>
      <c r="X14" s="18"/>
      <c r="Y14" s="18"/>
    </row>
    <row r="15" spans="2:25" ht="40" customHeight="1" x14ac:dyDescent="0.2">
      <c r="B15" s="43" t="s">
        <v>1033</v>
      </c>
      <c r="C15" s="87">
        <v>32</v>
      </c>
      <c r="D15" s="87">
        <f>COUNTIFS('G2 - Path A'!C:C,"TASK",'G2 - Path A'!K:K,"In Progress")</f>
        <v>0</v>
      </c>
      <c r="E15" s="87">
        <f>COUNTIFS('G2 - Path A'!D:D,"TASK",'[1]G2 - Path A'!L:L,"Complete")</f>
        <v>0</v>
      </c>
      <c r="F15" s="87">
        <f>COUNTIFS('G2 - Path A'!D:D,"TASK",'[1]G2 - Path A'!L:L,"Blocked")</f>
        <v>0</v>
      </c>
      <c r="G15" s="14"/>
      <c r="H15" s="92"/>
      <c r="I15" s="92"/>
      <c r="J15" s="92"/>
      <c r="K15" s="93"/>
      <c r="L15" s="14"/>
      <c r="N15" s="18"/>
      <c r="O15" s="18"/>
      <c r="P15" s="18"/>
      <c r="Q15" s="18"/>
      <c r="R15" s="18"/>
      <c r="S15" s="18"/>
      <c r="T15" s="18"/>
      <c r="U15" s="18"/>
      <c r="V15" s="18"/>
      <c r="W15" s="18"/>
      <c r="X15" s="18"/>
      <c r="Y15" s="18"/>
    </row>
    <row r="16" spans="2:25" ht="40" customHeight="1" x14ac:dyDescent="0.2">
      <c r="B16" s="42" t="s">
        <v>1034</v>
      </c>
      <c r="C16" s="88">
        <v>33</v>
      </c>
      <c r="D16" s="88">
        <f>COUNTIFS('G3 - Path B'!C:C,"TASK",'G3 - Path B'!K:K,"In Progress")</f>
        <v>0</v>
      </c>
      <c r="E16" s="88">
        <f>COUNTIFS('G3 - Path B'!D:D,"TASK",'[1]G3 - Path B'!L:L,"Complete")</f>
        <v>0</v>
      </c>
      <c r="F16" s="88">
        <f>COUNTIFS('G3 - Path B'!D:D,"TASK",'[1]G3 - Path B'!L:L,"Blocked")</f>
        <v>0</v>
      </c>
      <c r="G16" s="14"/>
      <c r="H16" s="92"/>
      <c r="I16" s="92"/>
      <c r="J16" s="92"/>
      <c r="K16" s="93"/>
      <c r="L16" s="14"/>
      <c r="N16" s="18"/>
      <c r="O16" s="18"/>
      <c r="P16" s="18"/>
      <c r="Q16" s="18"/>
      <c r="R16" s="18"/>
      <c r="S16" s="18"/>
      <c r="T16" s="18"/>
      <c r="U16" s="18"/>
      <c r="V16" s="18"/>
      <c r="W16" s="18"/>
      <c r="X16" s="18"/>
      <c r="Y16" s="18"/>
    </row>
    <row r="17" spans="2:25" ht="40" customHeight="1" x14ac:dyDescent="0.2">
      <c r="B17" s="43" t="s">
        <v>1035</v>
      </c>
      <c r="C17" s="87">
        <v>21</v>
      </c>
      <c r="D17" s="87">
        <f>COUNTIFS('G4 - Integration'!C:C,"TASK",'G4 - Integration'!K:K,"In Progress")</f>
        <v>0</v>
      </c>
      <c r="E17" s="87">
        <f>COUNTIFS('G4 - Integration'!D:D,"TASK",'[1]G4 - Integration'!L:L,"Complete")</f>
        <v>0</v>
      </c>
      <c r="F17" s="87">
        <f>COUNTIFS('G4 - Integration'!D:D,"TASK",'[1]G4 - Integration'!L:L,"Blocked")</f>
        <v>0</v>
      </c>
      <c r="G17" s="14"/>
      <c r="H17" s="94"/>
      <c r="I17" s="94"/>
      <c r="J17" s="94"/>
      <c r="K17" s="93"/>
      <c r="L17" s="14"/>
      <c r="N17" s="18"/>
      <c r="O17" s="18"/>
      <c r="P17" s="18"/>
      <c r="Q17" s="18"/>
      <c r="R17" s="18"/>
      <c r="S17" s="18"/>
      <c r="T17" s="18"/>
      <c r="U17" s="18"/>
      <c r="V17" s="18"/>
      <c r="W17" s="18"/>
      <c r="X17" s="18"/>
      <c r="Y17" s="18"/>
    </row>
    <row r="18" spans="2:25" ht="40" customHeight="1" x14ac:dyDescent="0.2">
      <c r="B18" s="44" t="s">
        <v>8</v>
      </c>
      <c r="C18" s="88">
        <v>29</v>
      </c>
      <c r="D18" s="88">
        <f>COUNTIFS(Research!C:C,"TASK",Research!K:K,"In Progress")</f>
        <v>1</v>
      </c>
      <c r="E18" s="88">
        <f>COUNTIFS(Research!D:D,"TASK",[1]Research!L:L,"Complete")</f>
        <v>0</v>
      </c>
      <c r="F18" s="88">
        <f>COUNTIFS(Research!D:D,"TASK",[1]Research!L:L,"Blocked")</f>
        <v>0</v>
      </c>
      <c r="G18" s="14"/>
      <c r="H18" s="94"/>
      <c r="I18" s="94"/>
      <c r="J18" s="94"/>
      <c r="K18" s="93"/>
      <c r="L18" s="14"/>
      <c r="N18" s="18"/>
      <c r="O18" s="18"/>
      <c r="P18" s="18"/>
      <c r="Q18" s="18"/>
      <c r="R18" s="18"/>
      <c r="S18" s="18"/>
      <c r="T18" s="18"/>
      <c r="U18" s="18"/>
      <c r="V18" s="18"/>
      <c r="W18" s="18"/>
      <c r="X18" s="18"/>
      <c r="Y18" s="18"/>
    </row>
    <row r="19" spans="2:25" ht="25" customHeight="1" x14ac:dyDescent="0.2">
      <c r="B19" s="41" t="s">
        <v>17</v>
      </c>
      <c r="C19" s="41">
        <v>143</v>
      </c>
      <c r="D19" s="41">
        <f>SUM(D14:D18)</f>
        <v>3</v>
      </c>
      <c r="E19" s="41">
        <f>SUM(E14:E18)</f>
        <v>0</v>
      </c>
      <c r="F19" s="41">
        <f>SUM(F14:F18)</f>
        <v>0</v>
      </c>
      <c r="G19" s="14"/>
      <c r="H19" s="91"/>
      <c r="I19" s="91"/>
      <c r="J19" s="91"/>
      <c r="K19" s="95"/>
      <c r="L19" s="96"/>
      <c r="N19" s="18"/>
      <c r="O19" s="18"/>
      <c r="P19" s="18"/>
      <c r="Q19" s="18"/>
      <c r="R19" s="18"/>
      <c r="S19" s="18"/>
      <c r="T19" s="18"/>
      <c r="U19" s="18"/>
      <c r="V19" s="18"/>
      <c r="W19" s="18"/>
      <c r="X19" s="18"/>
      <c r="Y19" s="18"/>
    </row>
    <row r="20" spans="2:25" ht="25" customHeight="1" x14ac:dyDescent="0.2">
      <c r="G20" s="15"/>
      <c r="N20" s="18"/>
      <c r="O20" s="18"/>
      <c r="P20" s="18"/>
      <c r="Q20" s="18"/>
      <c r="R20" s="18"/>
      <c r="S20" s="18"/>
      <c r="T20" s="18"/>
      <c r="U20" s="18"/>
      <c r="V20" s="18"/>
      <c r="W20" s="18"/>
      <c r="X20" s="18"/>
      <c r="Y20" s="18"/>
    </row>
    <row r="21" spans="2:25" ht="20" customHeight="1" x14ac:dyDescent="0.2">
      <c r="G21" s="6"/>
      <c r="N21" s="18"/>
      <c r="O21" s="18"/>
      <c r="P21" s="18"/>
      <c r="Q21" s="18"/>
      <c r="R21" s="18"/>
      <c r="S21" s="18"/>
      <c r="T21" s="18"/>
      <c r="U21" s="18"/>
      <c r="V21" s="18"/>
      <c r="W21" s="18"/>
      <c r="X21" s="18"/>
      <c r="Y21" s="18"/>
    </row>
    <row r="22" spans="2:25" ht="35" customHeight="1" x14ac:dyDescent="0.3">
      <c r="B22" s="118"/>
      <c r="C22" s="119"/>
      <c r="D22" s="119"/>
      <c r="E22" s="119"/>
      <c r="F22" s="119"/>
      <c r="G22" s="6"/>
      <c r="O22" s="18"/>
      <c r="P22" s="18"/>
      <c r="Q22" s="18"/>
      <c r="R22" s="18"/>
      <c r="S22" s="18"/>
      <c r="T22" s="18"/>
      <c r="U22" s="18"/>
      <c r="V22" s="18"/>
      <c r="W22" s="18"/>
      <c r="X22" s="18"/>
      <c r="Y22" s="18"/>
    </row>
    <row r="23" spans="2:25" ht="25" customHeight="1" x14ac:dyDescent="0.2">
      <c r="B23" s="120"/>
      <c r="C23" s="121"/>
      <c r="D23" s="121"/>
      <c r="E23" s="121"/>
      <c r="F23" s="121"/>
      <c r="G23" s="6"/>
    </row>
    <row r="24" spans="2:25" ht="35" customHeight="1" x14ac:dyDescent="0.2">
      <c r="B24" s="122"/>
      <c r="C24" s="123"/>
      <c r="D24" s="123"/>
      <c r="E24" s="123"/>
      <c r="F24" s="124"/>
      <c r="G24" s="6"/>
    </row>
    <row r="25" spans="2:25" ht="35" customHeight="1" x14ac:dyDescent="0.2">
      <c r="B25" s="122"/>
      <c r="C25" s="123"/>
      <c r="D25" s="123"/>
      <c r="E25" s="123"/>
      <c r="F25" s="124"/>
      <c r="G25" s="6"/>
    </row>
    <row r="26" spans="2:25" ht="35" customHeight="1" x14ac:dyDescent="0.2">
      <c r="B26" s="122"/>
      <c r="C26" s="123"/>
      <c r="D26" s="123"/>
      <c r="E26" s="123"/>
      <c r="F26" s="124"/>
      <c r="G26" s="6"/>
    </row>
    <row r="27" spans="2:25" ht="35" customHeight="1" x14ac:dyDescent="0.2">
      <c r="B27" s="122"/>
      <c r="C27" s="123"/>
      <c r="D27" s="123"/>
      <c r="E27" s="123"/>
      <c r="F27" s="124"/>
      <c r="G27" s="6"/>
    </row>
    <row r="28" spans="2:25" ht="22" customHeight="1" x14ac:dyDescent="0.2">
      <c r="G28" s="6"/>
    </row>
    <row r="29" spans="2:25" ht="35" customHeight="1" x14ac:dyDescent="0.2">
      <c r="G29" s="6"/>
    </row>
    <row r="30" spans="2:25" ht="25" customHeight="1" x14ac:dyDescent="0.2">
      <c r="G30" s="6"/>
    </row>
    <row r="31" spans="2:25" ht="25" customHeight="1" x14ac:dyDescent="0.2">
      <c r="G31" s="6"/>
    </row>
    <row r="32" spans="2:25" ht="25" customHeight="1" x14ac:dyDescent="0.2">
      <c r="G32" s="6"/>
    </row>
    <row r="33" spans="7:7" ht="25" customHeight="1" x14ac:dyDescent="0.2">
      <c r="G33" s="6"/>
    </row>
    <row r="34" spans="7:7" ht="25" customHeight="1" x14ac:dyDescent="0.2">
      <c r="G34" s="6"/>
    </row>
    <row r="35" spans="7:7" ht="25" customHeight="1" x14ac:dyDescent="0.2">
      <c r="G35" s="6"/>
    </row>
    <row r="36" spans="7:7" ht="25" customHeight="1" x14ac:dyDescent="0.2">
      <c r="G36" s="6"/>
    </row>
    <row r="37" spans="7:7" ht="34" customHeight="1" x14ac:dyDescent="0.2">
      <c r="G37" s="6"/>
    </row>
    <row r="38" spans="7:7" ht="22" customHeight="1" x14ac:dyDescent="0.2">
      <c r="G38" s="6"/>
    </row>
    <row r="39" spans="7:7" ht="22" customHeight="1" x14ac:dyDescent="0.2">
      <c r="G39" s="6"/>
    </row>
    <row r="40" spans="7:7" ht="22" customHeight="1" x14ac:dyDescent="0.2">
      <c r="G40" s="6"/>
    </row>
    <row r="41" spans="7:7" ht="34" customHeight="1" x14ac:dyDescent="0.3">
      <c r="G41" s="11"/>
    </row>
    <row r="42" spans="7:7" ht="22" customHeight="1" x14ac:dyDescent="0.2">
      <c r="G42" s="15"/>
    </row>
    <row r="43" spans="7:7" ht="24" customHeight="1" x14ac:dyDescent="0.2">
      <c r="G43" s="6"/>
    </row>
    <row r="44" spans="7:7" ht="24" customHeight="1" x14ac:dyDescent="0.2">
      <c r="G44" s="16"/>
    </row>
    <row r="45" spans="7:7" ht="24" customHeight="1" x14ac:dyDescent="0.2">
      <c r="G45" s="16"/>
    </row>
    <row r="46" spans="7:7" ht="24" customHeight="1" x14ac:dyDescent="0.2">
      <c r="G46" s="16"/>
    </row>
    <row r="47" spans="7:7" x14ac:dyDescent="0.2">
      <c r="G47" s="6"/>
    </row>
    <row r="48" spans="7:7" x14ac:dyDescent="0.2">
      <c r="G48" s="6"/>
    </row>
    <row r="49" spans="7:7" x14ac:dyDescent="0.2">
      <c r="G49" s="6"/>
    </row>
    <row r="50" spans="7:7" hidden="1" x14ac:dyDescent="0.2">
      <c r="G50" s="6"/>
    </row>
    <row r="51" spans="7:7" hidden="1" x14ac:dyDescent="0.2">
      <c r="G51" s="6"/>
    </row>
    <row r="52" spans="7:7" hidden="1" x14ac:dyDescent="0.2">
      <c r="G52" s="6"/>
    </row>
    <row r="53" spans="7:7" x14ac:dyDescent="0.2"/>
    <row r="54" spans="7:7" x14ac:dyDescent="0.2"/>
  </sheetData>
  <mergeCells count="25">
    <mergeCell ref="M5:O5"/>
    <mergeCell ref="B2:O2"/>
    <mergeCell ref="B3:O3"/>
    <mergeCell ref="D9:D10"/>
    <mergeCell ref="E9:E10"/>
    <mergeCell ref="F9:F10"/>
    <mergeCell ref="H19:J19"/>
    <mergeCell ref="H18:J18"/>
    <mergeCell ref="H17:J17"/>
    <mergeCell ref="H16:J16"/>
    <mergeCell ref="H15:J15"/>
    <mergeCell ref="H14:J14"/>
    <mergeCell ref="H13:J13"/>
    <mergeCell ref="B5:F5"/>
    <mergeCell ref="H12:L12"/>
    <mergeCell ref="B22:F22"/>
    <mergeCell ref="B12:F12"/>
    <mergeCell ref="H5:L5"/>
    <mergeCell ref="B6:B8"/>
    <mergeCell ref="C6:C8"/>
    <mergeCell ref="D6:D8"/>
    <mergeCell ref="E6:E8"/>
    <mergeCell ref="F6:F8"/>
    <mergeCell ref="B9:B10"/>
    <mergeCell ref="C9:C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3"/>
  <sheetViews>
    <sheetView showGridLines="0" workbookViewId="0">
      <pane ySplit="4" topLeftCell="A20" activePane="bottomLeft" state="frozen"/>
      <selection pane="bottomLeft" activeCell="K14" sqref="K14"/>
    </sheetView>
  </sheetViews>
  <sheetFormatPr baseColWidth="10" defaultColWidth="8.83203125" defaultRowHeight="15" x14ac:dyDescent="0.2"/>
  <cols>
    <col min="1" max="1" width="14" customWidth="1"/>
    <col min="2" max="2" width="52" customWidth="1"/>
    <col min="3" max="5" width="13" customWidth="1"/>
    <col min="6" max="9" width="11" customWidth="1"/>
    <col min="10" max="10" width="12" customWidth="1"/>
    <col min="11" max="11" width="17" customWidth="1"/>
    <col min="12" max="12" width="10" customWidth="1"/>
    <col min="13" max="13" width="38" customWidth="1"/>
  </cols>
  <sheetData>
    <row r="1" spans="1:13" ht="50" customHeight="1" x14ac:dyDescent="0.2">
      <c r="A1" s="66" t="s">
        <v>720</v>
      </c>
      <c r="B1" s="3"/>
      <c r="C1" s="3"/>
      <c r="D1" s="3"/>
      <c r="E1" s="3"/>
      <c r="F1" s="3"/>
      <c r="G1" s="3"/>
      <c r="H1" s="3"/>
      <c r="I1" s="3"/>
      <c r="J1" s="3"/>
      <c r="K1" s="3"/>
      <c r="L1" s="3"/>
      <c r="M1" s="3"/>
    </row>
    <row r="2" spans="1:13" ht="22" customHeight="1" x14ac:dyDescent="0.2">
      <c r="A2" s="67" t="s">
        <v>721</v>
      </c>
      <c r="B2" s="3"/>
      <c r="C2" s="3"/>
      <c r="D2" s="3"/>
      <c r="E2" s="3"/>
      <c r="F2" s="3"/>
      <c r="G2" s="3"/>
      <c r="H2" s="3"/>
      <c r="I2" s="3"/>
      <c r="J2" s="3"/>
      <c r="K2" s="3"/>
      <c r="L2" s="3"/>
      <c r="M2" s="3"/>
    </row>
    <row r="3" spans="1:13" ht="6" customHeight="1" x14ac:dyDescent="0.2"/>
    <row r="4" spans="1:13" ht="50" customHeight="1" x14ac:dyDescent="0.2">
      <c r="A4" s="97" t="s">
        <v>19</v>
      </c>
      <c r="B4" s="97" t="s">
        <v>636</v>
      </c>
      <c r="C4" s="97" t="s">
        <v>637</v>
      </c>
      <c r="D4" s="97" t="s">
        <v>31</v>
      </c>
      <c r="E4" s="97" t="s">
        <v>32</v>
      </c>
      <c r="F4" s="97" t="s">
        <v>33</v>
      </c>
      <c r="G4" s="97" t="s">
        <v>34</v>
      </c>
      <c r="H4" s="97" t="s">
        <v>35</v>
      </c>
      <c r="I4" s="97" t="s">
        <v>11</v>
      </c>
      <c r="J4" s="97" t="s">
        <v>36</v>
      </c>
      <c r="K4" s="97" t="s">
        <v>10</v>
      </c>
      <c r="L4" s="97" t="s">
        <v>638</v>
      </c>
      <c r="M4" s="97" t="s">
        <v>37</v>
      </c>
    </row>
    <row r="5" spans="1:13" ht="40" customHeight="1" x14ac:dyDescent="0.2">
      <c r="A5" s="97" t="s">
        <v>38</v>
      </c>
      <c r="B5" s="98" t="s">
        <v>639</v>
      </c>
      <c r="C5" s="97" t="s">
        <v>640</v>
      </c>
      <c r="D5" s="97" t="s">
        <v>21</v>
      </c>
      <c r="E5" s="97" t="s">
        <v>24</v>
      </c>
      <c r="F5" s="99">
        <v>14</v>
      </c>
      <c r="G5" s="99">
        <v>20</v>
      </c>
      <c r="H5" s="99">
        <v>30</v>
      </c>
      <c r="I5" s="100">
        <v>20.7</v>
      </c>
      <c r="J5" s="97"/>
      <c r="K5" s="97" t="s">
        <v>13</v>
      </c>
      <c r="L5" s="97"/>
      <c r="M5" s="98" t="s">
        <v>641</v>
      </c>
    </row>
    <row r="6" spans="1:13" ht="45" customHeight="1" x14ac:dyDescent="0.2">
      <c r="A6" s="101" t="s">
        <v>39</v>
      </c>
      <c r="B6" s="102" t="s">
        <v>642</v>
      </c>
      <c r="C6" s="103" t="s">
        <v>643</v>
      </c>
      <c r="D6" s="103"/>
      <c r="E6" s="103"/>
      <c r="F6" s="104"/>
      <c r="G6" s="104"/>
      <c r="H6" s="104"/>
      <c r="I6" s="105">
        <v>3</v>
      </c>
      <c r="J6" s="103"/>
      <c r="K6" s="101" t="s">
        <v>13</v>
      </c>
      <c r="L6" s="103" t="s">
        <v>644</v>
      </c>
      <c r="M6" s="102" t="s">
        <v>645</v>
      </c>
    </row>
    <row r="7" spans="1:13" ht="45" customHeight="1" x14ac:dyDescent="0.2">
      <c r="A7" s="101" t="s">
        <v>40</v>
      </c>
      <c r="B7" s="102" t="s">
        <v>646</v>
      </c>
      <c r="C7" s="103" t="s">
        <v>643</v>
      </c>
      <c r="D7" s="103"/>
      <c r="E7" s="103"/>
      <c r="F7" s="104"/>
      <c r="G7" s="104"/>
      <c r="H7" s="104"/>
      <c r="I7" s="105">
        <v>2</v>
      </c>
      <c r="J7" s="103"/>
      <c r="K7" s="101" t="s">
        <v>13</v>
      </c>
      <c r="L7" s="103" t="s">
        <v>644</v>
      </c>
      <c r="M7" s="102" t="s">
        <v>647</v>
      </c>
    </row>
    <row r="8" spans="1:13" ht="45" customHeight="1" x14ac:dyDescent="0.2">
      <c r="A8" s="106" t="s">
        <v>41</v>
      </c>
      <c r="B8" s="107" t="s">
        <v>648</v>
      </c>
      <c r="C8" s="108" t="s">
        <v>643</v>
      </c>
      <c r="D8" s="108"/>
      <c r="E8" s="108"/>
      <c r="F8" s="109"/>
      <c r="G8" s="109"/>
      <c r="H8" s="109"/>
      <c r="I8" s="110">
        <v>1.5</v>
      </c>
      <c r="J8" s="108"/>
      <c r="K8" s="111" t="s">
        <v>15</v>
      </c>
      <c r="L8" s="108" t="s">
        <v>644</v>
      </c>
      <c r="M8" s="107" t="s">
        <v>649</v>
      </c>
    </row>
    <row r="9" spans="1:13" ht="45" customHeight="1" x14ac:dyDescent="0.2">
      <c r="A9" s="112" t="s">
        <v>42</v>
      </c>
      <c r="B9" s="113" t="s">
        <v>650</v>
      </c>
      <c r="C9" s="114" t="s">
        <v>643</v>
      </c>
      <c r="D9" s="114"/>
      <c r="E9" s="114"/>
      <c r="F9" s="115"/>
      <c r="G9" s="115"/>
      <c r="H9" s="115"/>
      <c r="I9" s="116">
        <v>1.5</v>
      </c>
      <c r="J9" s="114"/>
      <c r="K9" s="111" t="s">
        <v>15</v>
      </c>
      <c r="L9" s="114" t="s">
        <v>644</v>
      </c>
      <c r="M9" s="113" t="s">
        <v>651</v>
      </c>
    </row>
    <row r="10" spans="1:13" ht="45" customHeight="1" x14ac:dyDescent="0.2">
      <c r="A10" s="106" t="s">
        <v>652</v>
      </c>
      <c r="B10" s="107" t="s">
        <v>653</v>
      </c>
      <c r="C10" s="108" t="s">
        <v>643</v>
      </c>
      <c r="D10" s="108"/>
      <c r="E10" s="108"/>
      <c r="F10" s="109"/>
      <c r="G10" s="109"/>
      <c r="H10" s="109"/>
      <c r="I10" s="110">
        <v>2</v>
      </c>
      <c r="J10" s="108"/>
      <c r="K10" s="111" t="s">
        <v>15</v>
      </c>
      <c r="L10" s="108" t="s">
        <v>644</v>
      </c>
      <c r="M10" s="107" t="s">
        <v>654</v>
      </c>
    </row>
    <row r="11" spans="1:13" ht="45" customHeight="1" x14ac:dyDescent="0.2">
      <c r="A11" s="112" t="s">
        <v>655</v>
      </c>
      <c r="B11" s="113" t="s">
        <v>656</v>
      </c>
      <c r="C11" s="114" t="s">
        <v>643</v>
      </c>
      <c r="D11" s="114"/>
      <c r="E11" s="114"/>
      <c r="F11" s="115"/>
      <c r="G11" s="115"/>
      <c r="H11" s="115"/>
      <c r="I11" s="116">
        <v>2.5</v>
      </c>
      <c r="J11" s="114"/>
      <c r="K11" s="111" t="s">
        <v>15</v>
      </c>
      <c r="L11" s="114" t="s">
        <v>644</v>
      </c>
      <c r="M11" s="113" t="s">
        <v>657</v>
      </c>
    </row>
    <row r="12" spans="1:13" ht="45" customHeight="1" x14ac:dyDescent="0.2">
      <c r="A12" s="106" t="s">
        <v>658</v>
      </c>
      <c r="B12" s="107" t="s">
        <v>659</v>
      </c>
      <c r="C12" s="108" t="s">
        <v>643</v>
      </c>
      <c r="D12" s="108"/>
      <c r="E12" s="108"/>
      <c r="F12" s="109"/>
      <c r="G12" s="109"/>
      <c r="H12" s="109"/>
      <c r="I12" s="110">
        <v>3</v>
      </c>
      <c r="J12" s="108"/>
      <c r="K12" s="111" t="s">
        <v>15</v>
      </c>
      <c r="L12" s="108" t="s">
        <v>644</v>
      </c>
      <c r="M12" s="107" t="s">
        <v>660</v>
      </c>
    </row>
    <row r="13" spans="1:13" ht="45" customHeight="1" x14ac:dyDescent="0.2">
      <c r="A13" s="112" t="s">
        <v>661</v>
      </c>
      <c r="B13" s="113" t="s">
        <v>662</v>
      </c>
      <c r="C13" s="114" t="s">
        <v>643</v>
      </c>
      <c r="D13" s="114"/>
      <c r="E13" s="114"/>
      <c r="F13" s="115"/>
      <c r="G13" s="115"/>
      <c r="H13" s="115"/>
      <c r="I13" s="116">
        <v>3</v>
      </c>
      <c r="J13" s="114"/>
      <c r="K13" s="111" t="s">
        <v>15</v>
      </c>
      <c r="L13" s="114" t="s">
        <v>644</v>
      </c>
      <c r="M13" s="113" t="s">
        <v>663</v>
      </c>
    </row>
    <row r="14" spans="1:13" ht="45" customHeight="1" x14ac:dyDescent="0.2">
      <c r="A14" s="106" t="s">
        <v>664</v>
      </c>
      <c r="B14" s="107" t="s">
        <v>665</v>
      </c>
      <c r="C14" s="108" t="s">
        <v>643</v>
      </c>
      <c r="D14" s="108"/>
      <c r="E14" s="108"/>
      <c r="F14" s="109"/>
      <c r="G14" s="109"/>
      <c r="H14" s="109"/>
      <c r="I14" s="110">
        <v>2.2000000000000002</v>
      </c>
      <c r="J14" s="108"/>
      <c r="K14" s="111" t="s">
        <v>15</v>
      </c>
      <c r="L14" s="108" t="s">
        <v>644</v>
      </c>
      <c r="M14" s="107" t="s">
        <v>666</v>
      </c>
    </row>
    <row r="15" spans="1:13" ht="5" customHeight="1" x14ac:dyDescent="0.2"/>
    <row r="16" spans="1:13" ht="40" customHeight="1" x14ac:dyDescent="0.2">
      <c r="A16" s="97" t="s">
        <v>20</v>
      </c>
      <c r="B16" s="98" t="s">
        <v>667</v>
      </c>
      <c r="C16" s="97" t="s">
        <v>640</v>
      </c>
      <c r="D16" s="97" t="s">
        <v>24</v>
      </c>
      <c r="E16" s="97" t="s">
        <v>12</v>
      </c>
      <c r="F16" s="99">
        <v>12</v>
      </c>
      <c r="G16" s="99">
        <v>18</v>
      </c>
      <c r="H16" s="99">
        <v>26</v>
      </c>
      <c r="I16" s="100">
        <v>18.3</v>
      </c>
      <c r="J16" s="97"/>
      <c r="K16" s="97" t="s">
        <v>15</v>
      </c>
      <c r="L16" s="97"/>
      <c r="M16" s="98" t="s">
        <v>668</v>
      </c>
    </row>
    <row r="17" spans="1:13" ht="45" customHeight="1" x14ac:dyDescent="0.2">
      <c r="A17" s="112" t="s">
        <v>43</v>
      </c>
      <c r="B17" s="113" t="s">
        <v>669</v>
      </c>
      <c r="C17" s="114" t="s">
        <v>643</v>
      </c>
      <c r="D17" s="114"/>
      <c r="E17" s="114"/>
      <c r="F17" s="115"/>
      <c r="G17" s="115"/>
      <c r="H17" s="115"/>
      <c r="I17" s="116">
        <v>1</v>
      </c>
      <c r="J17" s="114"/>
      <c r="K17" s="111" t="s">
        <v>15</v>
      </c>
      <c r="L17" s="114" t="s">
        <v>644</v>
      </c>
      <c r="M17" s="113" t="s">
        <v>670</v>
      </c>
    </row>
    <row r="18" spans="1:13" ht="45" customHeight="1" x14ac:dyDescent="0.2">
      <c r="A18" s="106" t="s">
        <v>44</v>
      </c>
      <c r="B18" s="107" t="s">
        <v>671</v>
      </c>
      <c r="C18" s="108" t="s">
        <v>643</v>
      </c>
      <c r="D18" s="108"/>
      <c r="E18" s="108"/>
      <c r="F18" s="109"/>
      <c r="G18" s="109"/>
      <c r="H18" s="109"/>
      <c r="I18" s="110">
        <v>3</v>
      </c>
      <c r="J18" s="108"/>
      <c r="K18" s="111" t="s">
        <v>15</v>
      </c>
      <c r="L18" s="108" t="s">
        <v>644</v>
      </c>
      <c r="M18" s="107" t="s">
        <v>672</v>
      </c>
    </row>
    <row r="19" spans="1:13" ht="45" customHeight="1" x14ac:dyDescent="0.2">
      <c r="A19" s="112" t="s">
        <v>45</v>
      </c>
      <c r="B19" s="113" t="s">
        <v>673</v>
      </c>
      <c r="C19" s="114" t="s">
        <v>643</v>
      </c>
      <c r="D19" s="114"/>
      <c r="E19" s="114"/>
      <c r="F19" s="115"/>
      <c r="G19" s="115"/>
      <c r="H19" s="115"/>
      <c r="I19" s="116">
        <v>3</v>
      </c>
      <c r="J19" s="114"/>
      <c r="K19" s="111" t="s">
        <v>15</v>
      </c>
      <c r="L19" s="114" t="s">
        <v>644</v>
      </c>
      <c r="M19" s="113" t="s">
        <v>674</v>
      </c>
    </row>
    <row r="20" spans="1:13" ht="45" customHeight="1" x14ac:dyDescent="0.2">
      <c r="A20" s="106" t="s">
        <v>46</v>
      </c>
      <c r="B20" s="107" t="s">
        <v>675</v>
      </c>
      <c r="C20" s="108" t="s">
        <v>643</v>
      </c>
      <c r="D20" s="108"/>
      <c r="E20" s="108"/>
      <c r="F20" s="109"/>
      <c r="G20" s="109"/>
      <c r="H20" s="109"/>
      <c r="I20" s="110">
        <v>2</v>
      </c>
      <c r="J20" s="108"/>
      <c r="K20" s="111" t="s">
        <v>15</v>
      </c>
      <c r="L20" s="108" t="s">
        <v>644</v>
      </c>
      <c r="M20" s="107" t="s">
        <v>676</v>
      </c>
    </row>
    <row r="21" spans="1:13" ht="45" customHeight="1" x14ac:dyDescent="0.2">
      <c r="A21" s="112" t="s">
        <v>47</v>
      </c>
      <c r="B21" s="113" t="s">
        <v>677</v>
      </c>
      <c r="C21" s="114" t="s">
        <v>643</v>
      </c>
      <c r="D21" s="114"/>
      <c r="E21" s="114"/>
      <c r="F21" s="115"/>
      <c r="G21" s="115"/>
      <c r="H21" s="115"/>
      <c r="I21" s="116">
        <v>3.5</v>
      </c>
      <c r="J21" s="114"/>
      <c r="K21" s="111" t="s">
        <v>15</v>
      </c>
      <c r="L21" s="114" t="s">
        <v>644</v>
      </c>
      <c r="M21" s="113" t="s">
        <v>678</v>
      </c>
    </row>
    <row r="22" spans="1:13" ht="45" customHeight="1" x14ac:dyDescent="0.2">
      <c r="A22" s="106" t="s">
        <v>48</v>
      </c>
      <c r="B22" s="107" t="s">
        <v>679</v>
      </c>
      <c r="C22" s="108" t="s">
        <v>643</v>
      </c>
      <c r="D22" s="108"/>
      <c r="E22" s="108"/>
      <c r="F22" s="109"/>
      <c r="G22" s="109"/>
      <c r="H22" s="109"/>
      <c r="I22" s="110">
        <v>2</v>
      </c>
      <c r="J22" s="108"/>
      <c r="K22" s="111" t="s">
        <v>15</v>
      </c>
      <c r="L22" s="108" t="s">
        <v>644</v>
      </c>
      <c r="M22" s="107" t="s">
        <v>680</v>
      </c>
    </row>
    <row r="23" spans="1:13" ht="45" customHeight="1" x14ac:dyDescent="0.2">
      <c r="A23" s="112" t="s">
        <v>49</v>
      </c>
      <c r="B23" s="113" t="s">
        <v>681</v>
      </c>
      <c r="C23" s="114" t="s">
        <v>643</v>
      </c>
      <c r="D23" s="114"/>
      <c r="E23" s="114"/>
      <c r="F23" s="115"/>
      <c r="G23" s="115"/>
      <c r="H23" s="115"/>
      <c r="I23" s="116">
        <v>3.8</v>
      </c>
      <c r="J23" s="114"/>
      <c r="K23" s="111" t="s">
        <v>15</v>
      </c>
      <c r="L23" s="114" t="s">
        <v>644</v>
      </c>
      <c r="M23" s="113" t="s">
        <v>682</v>
      </c>
    </row>
    <row r="24" spans="1:13" ht="5" customHeight="1" x14ac:dyDescent="0.2"/>
    <row r="25" spans="1:13" ht="40" customHeight="1" x14ac:dyDescent="0.2">
      <c r="A25" s="97" t="s">
        <v>22</v>
      </c>
      <c r="B25" s="98" t="s">
        <v>683</v>
      </c>
      <c r="C25" s="97" t="s">
        <v>640</v>
      </c>
      <c r="D25" s="97" t="s">
        <v>12</v>
      </c>
      <c r="E25" s="97" t="s">
        <v>70</v>
      </c>
      <c r="F25" s="99">
        <v>12</v>
      </c>
      <c r="G25" s="99">
        <v>18</v>
      </c>
      <c r="H25" s="99">
        <v>28</v>
      </c>
      <c r="I25" s="100">
        <v>18.7</v>
      </c>
      <c r="J25" s="97"/>
      <c r="K25" s="97" t="s">
        <v>15</v>
      </c>
      <c r="L25" s="97"/>
      <c r="M25" s="98" t="s">
        <v>684</v>
      </c>
    </row>
    <row r="26" spans="1:13" ht="45" customHeight="1" x14ac:dyDescent="0.2">
      <c r="A26" s="106" t="s">
        <v>50</v>
      </c>
      <c r="B26" s="107" t="s">
        <v>685</v>
      </c>
      <c r="C26" s="108" t="s">
        <v>643</v>
      </c>
      <c r="D26" s="108"/>
      <c r="E26" s="108"/>
      <c r="F26" s="109"/>
      <c r="G26" s="109"/>
      <c r="H26" s="109"/>
      <c r="I26" s="110">
        <v>1</v>
      </c>
      <c r="J26" s="108"/>
      <c r="K26" s="111" t="s">
        <v>15</v>
      </c>
      <c r="L26" s="108" t="s">
        <v>644</v>
      </c>
      <c r="M26" s="107" t="s">
        <v>686</v>
      </c>
    </row>
    <row r="27" spans="1:13" ht="45" customHeight="1" x14ac:dyDescent="0.2">
      <c r="A27" s="112" t="s">
        <v>51</v>
      </c>
      <c r="B27" s="113" t="s">
        <v>687</v>
      </c>
      <c r="C27" s="114" t="s">
        <v>643</v>
      </c>
      <c r="D27" s="114"/>
      <c r="E27" s="114"/>
      <c r="F27" s="115"/>
      <c r="G27" s="115"/>
      <c r="H27" s="115"/>
      <c r="I27" s="116">
        <v>2</v>
      </c>
      <c r="J27" s="114"/>
      <c r="K27" s="111" t="s">
        <v>15</v>
      </c>
      <c r="L27" s="114" t="s">
        <v>644</v>
      </c>
      <c r="M27" s="113" t="s">
        <v>688</v>
      </c>
    </row>
    <row r="28" spans="1:13" ht="45" customHeight="1" x14ac:dyDescent="0.2">
      <c r="A28" s="106" t="s">
        <v>52</v>
      </c>
      <c r="B28" s="107" t="s">
        <v>689</v>
      </c>
      <c r="C28" s="108" t="s">
        <v>643</v>
      </c>
      <c r="D28" s="108"/>
      <c r="E28" s="108"/>
      <c r="F28" s="109"/>
      <c r="G28" s="109"/>
      <c r="H28" s="109"/>
      <c r="I28" s="110">
        <v>2</v>
      </c>
      <c r="J28" s="108"/>
      <c r="K28" s="111" t="s">
        <v>15</v>
      </c>
      <c r="L28" s="108" t="s">
        <v>644</v>
      </c>
      <c r="M28" s="107" t="s">
        <v>690</v>
      </c>
    </row>
    <row r="29" spans="1:13" ht="45" customHeight="1" x14ac:dyDescent="0.2">
      <c r="A29" s="112" t="s">
        <v>53</v>
      </c>
      <c r="B29" s="113" t="s">
        <v>691</v>
      </c>
      <c r="C29" s="114" t="s">
        <v>643</v>
      </c>
      <c r="D29" s="114"/>
      <c r="E29" s="114"/>
      <c r="F29" s="115"/>
      <c r="G29" s="115"/>
      <c r="H29" s="115"/>
      <c r="I29" s="116">
        <v>2</v>
      </c>
      <c r="J29" s="114"/>
      <c r="K29" s="111" t="s">
        <v>15</v>
      </c>
      <c r="L29" s="114" t="s">
        <v>644</v>
      </c>
      <c r="M29" s="113" t="s">
        <v>692</v>
      </c>
    </row>
    <row r="30" spans="1:13" ht="45" customHeight="1" x14ac:dyDescent="0.2">
      <c r="A30" s="106" t="s">
        <v>54</v>
      </c>
      <c r="B30" s="107" t="s">
        <v>693</v>
      </c>
      <c r="C30" s="108" t="s">
        <v>643</v>
      </c>
      <c r="D30" s="108"/>
      <c r="E30" s="108"/>
      <c r="F30" s="109"/>
      <c r="G30" s="109"/>
      <c r="H30" s="109"/>
      <c r="I30" s="110">
        <v>2.5</v>
      </c>
      <c r="J30" s="108"/>
      <c r="K30" s="111" t="s">
        <v>15</v>
      </c>
      <c r="L30" s="108" t="s">
        <v>644</v>
      </c>
      <c r="M30" s="107" t="s">
        <v>694</v>
      </c>
    </row>
    <row r="31" spans="1:13" ht="45" customHeight="1" x14ac:dyDescent="0.2">
      <c r="A31" s="112" t="s">
        <v>55</v>
      </c>
      <c r="B31" s="113" t="s">
        <v>695</v>
      </c>
      <c r="C31" s="114" t="s">
        <v>643</v>
      </c>
      <c r="D31" s="114"/>
      <c r="E31" s="114"/>
      <c r="F31" s="115"/>
      <c r="G31" s="115"/>
      <c r="H31" s="115"/>
      <c r="I31" s="116">
        <v>2</v>
      </c>
      <c r="J31" s="114"/>
      <c r="K31" s="111" t="s">
        <v>15</v>
      </c>
      <c r="L31" s="114" t="s">
        <v>644</v>
      </c>
      <c r="M31" s="113" t="s">
        <v>696</v>
      </c>
    </row>
    <row r="32" spans="1:13" ht="45" customHeight="1" x14ac:dyDescent="0.2">
      <c r="A32" s="106" t="s">
        <v>56</v>
      </c>
      <c r="B32" s="107" t="s">
        <v>697</v>
      </c>
      <c r="C32" s="108" t="s">
        <v>643</v>
      </c>
      <c r="D32" s="108"/>
      <c r="E32" s="108"/>
      <c r="F32" s="109"/>
      <c r="G32" s="109"/>
      <c r="H32" s="109"/>
      <c r="I32" s="110">
        <v>1.5</v>
      </c>
      <c r="J32" s="108"/>
      <c r="K32" s="111" t="s">
        <v>15</v>
      </c>
      <c r="L32" s="108" t="s">
        <v>644</v>
      </c>
      <c r="M32" s="107" t="s">
        <v>698</v>
      </c>
    </row>
    <row r="33" spans="1:13" ht="45" customHeight="1" x14ac:dyDescent="0.2">
      <c r="A33" s="112" t="s">
        <v>57</v>
      </c>
      <c r="B33" s="113" t="s">
        <v>699</v>
      </c>
      <c r="C33" s="114" t="s">
        <v>643</v>
      </c>
      <c r="D33" s="114"/>
      <c r="E33" s="114"/>
      <c r="F33" s="115"/>
      <c r="G33" s="115"/>
      <c r="H33" s="115"/>
      <c r="I33" s="116">
        <v>2.5</v>
      </c>
      <c r="J33" s="114"/>
      <c r="K33" s="111" t="s">
        <v>15</v>
      </c>
      <c r="L33" s="114" t="s">
        <v>644</v>
      </c>
      <c r="M33" s="113" t="s">
        <v>700</v>
      </c>
    </row>
    <row r="34" spans="1:13" ht="45" customHeight="1" x14ac:dyDescent="0.2">
      <c r="A34" s="106" t="s">
        <v>58</v>
      </c>
      <c r="B34" s="107" t="s">
        <v>701</v>
      </c>
      <c r="C34" s="108" t="s">
        <v>643</v>
      </c>
      <c r="D34" s="108"/>
      <c r="E34" s="108"/>
      <c r="F34" s="109"/>
      <c r="G34" s="109"/>
      <c r="H34" s="109"/>
      <c r="I34" s="110">
        <v>3.2</v>
      </c>
      <c r="J34" s="108"/>
      <c r="K34" s="111" t="s">
        <v>15</v>
      </c>
      <c r="L34" s="108" t="s">
        <v>644</v>
      </c>
      <c r="M34" s="107" t="s">
        <v>702</v>
      </c>
    </row>
    <row r="35" spans="1:13" ht="5" customHeight="1" x14ac:dyDescent="0.2"/>
    <row r="36" spans="1:13" ht="40" customHeight="1" x14ac:dyDescent="0.2">
      <c r="A36" s="97" t="s">
        <v>23</v>
      </c>
      <c r="B36" s="98" t="s">
        <v>703</v>
      </c>
      <c r="C36" s="97" t="s">
        <v>640</v>
      </c>
      <c r="D36" s="97" t="s">
        <v>70</v>
      </c>
      <c r="E36" s="97" t="s">
        <v>71</v>
      </c>
      <c r="F36" s="99">
        <v>6</v>
      </c>
      <c r="G36" s="99">
        <v>10</v>
      </c>
      <c r="H36" s="99">
        <v>16</v>
      </c>
      <c r="I36" s="100">
        <v>10.3</v>
      </c>
      <c r="J36" s="97"/>
      <c r="K36" s="97" t="s">
        <v>15</v>
      </c>
      <c r="L36" s="97"/>
      <c r="M36" s="98" t="s">
        <v>704</v>
      </c>
    </row>
    <row r="37" spans="1:13" ht="45" customHeight="1" x14ac:dyDescent="0.2">
      <c r="A37" s="112" t="s">
        <v>59</v>
      </c>
      <c r="B37" s="113" t="s">
        <v>705</v>
      </c>
      <c r="C37" s="114" t="s">
        <v>643</v>
      </c>
      <c r="D37" s="114"/>
      <c r="E37" s="114"/>
      <c r="F37" s="115"/>
      <c r="G37" s="115"/>
      <c r="H37" s="115"/>
      <c r="I37" s="116">
        <v>2</v>
      </c>
      <c r="J37" s="114"/>
      <c r="K37" s="111" t="s">
        <v>15</v>
      </c>
      <c r="L37" s="114" t="s">
        <v>644</v>
      </c>
      <c r="M37" s="113" t="s">
        <v>706</v>
      </c>
    </row>
    <row r="38" spans="1:13" ht="45" customHeight="1" x14ac:dyDescent="0.2">
      <c r="A38" s="106" t="s">
        <v>60</v>
      </c>
      <c r="B38" s="107" t="s">
        <v>707</v>
      </c>
      <c r="C38" s="108" t="s">
        <v>643</v>
      </c>
      <c r="D38" s="108"/>
      <c r="E38" s="108"/>
      <c r="F38" s="109"/>
      <c r="G38" s="109"/>
      <c r="H38" s="109"/>
      <c r="I38" s="110">
        <v>0.5</v>
      </c>
      <c r="J38" s="108"/>
      <c r="K38" s="111" t="s">
        <v>15</v>
      </c>
      <c r="L38" s="108" t="s">
        <v>644</v>
      </c>
      <c r="M38" s="107" t="s">
        <v>708</v>
      </c>
    </row>
    <row r="39" spans="1:13" ht="45" customHeight="1" x14ac:dyDescent="0.2">
      <c r="A39" s="112" t="s">
        <v>61</v>
      </c>
      <c r="B39" s="113" t="s">
        <v>709</v>
      </c>
      <c r="C39" s="114" t="s">
        <v>643</v>
      </c>
      <c r="D39" s="114"/>
      <c r="E39" s="114"/>
      <c r="F39" s="115"/>
      <c r="G39" s="115"/>
      <c r="H39" s="115"/>
      <c r="I39" s="116">
        <v>2</v>
      </c>
      <c r="J39" s="114"/>
      <c r="K39" s="111" t="s">
        <v>15</v>
      </c>
      <c r="L39" s="114" t="s">
        <v>644</v>
      </c>
      <c r="M39" s="113" t="s">
        <v>710</v>
      </c>
    </row>
    <row r="40" spans="1:13" ht="45" customHeight="1" x14ac:dyDescent="0.2">
      <c r="A40" s="106" t="s">
        <v>62</v>
      </c>
      <c r="B40" s="107" t="s">
        <v>711</v>
      </c>
      <c r="C40" s="108" t="s">
        <v>643</v>
      </c>
      <c r="D40" s="108"/>
      <c r="E40" s="108"/>
      <c r="F40" s="109"/>
      <c r="G40" s="109"/>
      <c r="H40" s="109"/>
      <c r="I40" s="110">
        <v>3</v>
      </c>
      <c r="J40" s="108"/>
      <c r="K40" s="111" t="s">
        <v>15</v>
      </c>
      <c r="L40" s="108" t="s">
        <v>644</v>
      </c>
      <c r="M40" s="107" t="s">
        <v>712</v>
      </c>
    </row>
    <row r="41" spans="1:13" ht="45" customHeight="1" x14ac:dyDescent="0.2">
      <c r="A41" s="112" t="s">
        <v>713</v>
      </c>
      <c r="B41" s="113" t="s">
        <v>714</v>
      </c>
      <c r="C41" s="114" t="s">
        <v>643</v>
      </c>
      <c r="D41" s="114"/>
      <c r="E41" s="114"/>
      <c r="F41" s="115"/>
      <c r="G41" s="115"/>
      <c r="H41" s="115"/>
      <c r="I41" s="116">
        <v>2.8</v>
      </c>
      <c r="J41" s="114"/>
      <c r="K41" s="111" t="s">
        <v>15</v>
      </c>
      <c r="L41" s="114" t="s">
        <v>644</v>
      </c>
      <c r="M41" s="113" t="s">
        <v>715</v>
      </c>
    </row>
    <row r="42" spans="1:13" ht="5" customHeight="1" x14ac:dyDescent="0.2"/>
    <row r="43" spans="1:13" ht="40" customHeight="1" x14ac:dyDescent="0.2">
      <c r="A43" s="64" t="s">
        <v>716</v>
      </c>
      <c r="B43" s="65" t="s">
        <v>717</v>
      </c>
      <c r="C43" s="64" t="s">
        <v>718</v>
      </c>
      <c r="D43" s="64" t="s">
        <v>21</v>
      </c>
      <c r="E43" s="64" t="s">
        <v>71</v>
      </c>
      <c r="F43" s="80"/>
      <c r="G43" s="80"/>
      <c r="H43" s="80"/>
      <c r="I43" s="81">
        <v>10</v>
      </c>
      <c r="J43" s="64"/>
      <c r="K43" s="64"/>
      <c r="L43" s="64"/>
      <c r="M43" s="65" t="s">
        <v>719</v>
      </c>
    </row>
  </sheetData>
  <mergeCells count="2">
    <mergeCell ref="A1:M1"/>
    <mergeCell ref="A2:M2"/>
  </mergeCells>
  <dataValidations disablePrompts="1" count="1">
    <dataValidation type="list" showErrorMessage="1" errorTitle="Invalid Status" error="Choose: Not Started, In Progress, Complete, Blocked, or At Risk" sqref="J6 J7 J8 J9 J12 J13 J14 J15 J16 J17 J18 J19 J20 J21 J24 J25 J26 J27 J28 J29 J30 J31 J32 J33 J36 J37 J38 J39 J42 J43 J44 J45 J48 J49 J52 J53 J54" xr:uid="{00000000-0002-0000-0100-000000000000}">
      <formula1>"Not Started,In Progress,Complete,Blocked,At Risk"</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5"/>
  <sheetViews>
    <sheetView showGridLines="0" workbookViewId="0">
      <pane ySplit="4" topLeftCell="A18" activePane="bottomLeft" state="frozen"/>
      <selection pane="bottomLeft" activeCell="B39" sqref="B39"/>
    </sheetView>
  </sheetViews>
  <sheetFormatPr baseColWidth="10" defaultColWidth="8.83203125" defaultRowHeight="15" x14ac:dyDescent="0.2"/>
  <cols>
    <col min="1" max="1" width="14" customWidth="1"/>
    <col min="2" max="2" width="52" customWidth="1"/>
    <col min="3" max="5" width="13" customWidth="1"/>
    <col min="6" max="9" width="11" customWidth="1"/>
    <col min="10" max="10" width="12" customWidth="1"/>
    <col min="11" max="11" width="17" customWidth="1"/>
    <col min="12" max="12" width="10" customWidth="1"/>
    <col min="13" max="13" width="38" customWidth="1"/>
  </cols>
  <sheetData>
    <row r="1" spans="1:13" ht="50" customHeight="1" x14ac:dyDescent="0.2">
      <c r="A1" s="66" t="s">
        <v>722</v>
      </c>
      <c r="B1" s="3"/>
      <c r="C1" s="3"/>
      <c r="D1" s="3"/>
      <c r="E1" s="3"/>
      <c r="F1" s="3"/>
      <c r="G1" s="3"/>
      <c r="H1" s="3"/>
      <c r="I1" s="3"/>
      <c r="J1" s="3"/>
      <c r="K1" s="3"/>
      <c r="L1" s="3"/>
      <c r="M1" s="3"/>
    </row>
    <row r="2" spans="1:13" ht="22" customHeight="1" x14ac:dyDescent="0.2">
      <c r="A2" s="67" t="s">
        <v>723</v>
      </c>
      <c r="B2" s="3"/>
      <c r="C2" s="3"/>
      <c r="D2" s="3"/>
      <c r="E2" s="3"/>
      <c r="F2" s="3"/>
      <c r="G2" s="3"/>
      <c r="H2" s="3"/>
      <c r="I2" s="3"/>
      <c r="J2" s="3"/>
      <c r="K2" s="3"/>
      <c r="L2" s="3"/>
      <c r="M2" s="3"/>
    </row>
    <row r="3" spans="1:13" ht="6" customHeight="1" x14ac:dyDescent="0.2"/>
    <row r="4" spans="1:13" ht="50" customHeight="1" x14ac:dyDescent="0.2">
      <c r="A4" s="97" t="s">
        <v>19</v>
      </c>
      <c r="B4" s="97" t="s">
        <v>636</v>
      </c>
      <c r="C4" s="97" t="s">
        <v>637</v>
      </c>
      <c r="D4" s="97" t="s">
        <v>31</v>
      </c>
      <c r="E4" s="97" t="s">
        <v>32</v>
      </c>
      <c r="F4" s="97" t="s">
        <v>33</v>
      </c>
      <c r="G4" s="97" t="s">
        <v>34</v>
      </c>
      <c r="H4" s="97" t="s">
        <v>35</v>
      </c>
      <c r="I4" s="97" t="s">
        <v>11</v>
      </c>
      <c r="J4" s="97" t="s">
        <v>36</v>
      </c>
      <c r="K4" s="97" t="s">
        <v>10</v>
      </c>
      <c r="L4" s="97" t="s">
        <v>638</v>
      </c>
      <c r="M4" s="97" t="s">
        <v>37</v>
      </c>
    </row>
    <row r="5" spans="1:13" ht="40" customHeight="1" x14ac:dyDescent="0.2">
      <c r="A5" s="97" t="s">
        <v>63</v>
      </c>
      <c r="B5" s="98" t="s">
        <v>724</v>
      </c>
      <c r="C5" s="97" t="s">
        <v>640</v>
      </c>
      <c r="D5" s="97" t="s">
        <v>77</v>
      </c>
      <c r="E5" s="97" t="s">
        <v>88</v>
      </c>
      <c r="F5" s="99">
        <v>16</v>
      </c>
      <c r="G5" s="99">
        <v>25</v>
      </c>
      <c r="H5" s="99">
        <v>40</v>
      </c>
      <c r="I5" s="100">
        <v>26</v>
      </c>
      <c r="J5" s="97"/>
      <c r="K5" s="97" t="s">
        <v>15</v>
      </c>
      <c r="L5" s="97"/>
      <c r="M5" s="98" t="s">
        <v>725</v>
      </c>
    </row>
    <row r="6" spans="1:13" ht="45" customHeight="1" x14ac:dyDescent="0.2">
      <c r="A6" s="106" t="s">
        <v>64</v>
      </c>
      <c r="B6" s="107" t="s">
        <v>726</v>
      </c>
      <c r="C6" s="108" t="s">
        <v>643</v>
      </c>
      <c r="D6" s="108"/>
      <c r="E6" s="108"/>
      <c r="F6" s="109"/>
      <c r="G6" s="109"/>
      <c r="H6" s="109"/>
      <c r="I6" s="110">
        <v>2</v>
      </c>
      <c r="J6" s="108"/>
      <c r="K6" s="111" t="s">
        <v>15</v>
      </c>
      <c r="L6" s="108" t="s">
        <v>644</v>
      </c>
      <c r="M6" s="107" t="s">
        <v>727</v>
      </c>
    </row>
    <row r="7" spans="1:13" ht="45" customHeight="1" x14ac:dyDescent="0.2">
      <c r="A7" s="112" t="s">
        <v>65</v>
      </c>
      <c r="B7" s="113" t="s">
        <v>728</v>
      </c>
      <c r="C7" s="114" t="s">
        <v>643</v>
      </c>
      <c r="D7" s="114"/>
      <c r="E7" s="114"/>
      <c r="F7" s="115"/>
      <c r="G7" s="115"/>
      <c r="H7" s="115"/>
      <c r="I7" s="116">
        <v>2.5</v>
      </c>
      <c r="J7" s="114"/>
      <c r="K7" s="111" t="s">
        <v>15</v>
      </c>
      <c r="L7" s="114" t="s">
        <v>644</v>
      </c>
      <c r="M7" s="113" t="s">
        <v>729</v>
      </c>
    </row>
    <row r="8" spans="1:13" ht="45" customHeight="1" x14ac:dyDescent="0.2">
      <c r="A8" s="106" t="s">
        <v>66</v>
      </c>
      <c r="B8" s="107" t="s">
        <v>730</v>
      </c>
      <c r="C8" s="108" t="s">
        <v>643</v>
      </c>
      <c r="D8" s="108"/>
      <c r="E8" s="108"/>
      <c r="F8" s="109"/>
      <c r="G8" s="109"/>
      <c r="H8" s="109"/>
      <c r="I8" s="110">
        <v>4</v>
      </c>
      <c r="J8" s="108"/>
      <c r="K8" s="111" t="s">
        <v>15</v>
      </c>
      <c r="L8" s="108" t="s">
        <v>644</v>
      </c>
      <c r="M8" s="107" t="s">
        <v>731</v>
      </c>
    </row>
    <row r="9" spans="1:13" ht="45" customHeight="1" x14ac:dyDescent="0.2">
      <c r="A9" s="112" t="s">
        <v>67</v>
      </c>
      <c r="B9" s="113" t="s">
        <v>732</v>
      </c>
      <c r="C9" s="114" t="s">
        <v>643</v>
      </c>
      <c r="D9" s="114"/>
      <c r="E9" s="114"/>
      <c r="F9" s="115"/>
      <c r="G9" s="115"/>
      <c r="H9" s="115"/>
      <c r="I9" s="116">
        <v>2.5</v>
      </c>
      <c r="J9" s="114"/>
      <c r="K9" s="111" t="s">
        <v>15</v>
      </c>
      <c r="L9" s="114" t="s">
        <v>644</v>
      </c>
      <c r="M9" s="113" t="s">
        <v>733</v>
      </c>
    </row>
    <row r="10" spans="1:13" ht="45" customHeight="1" x14ac:dyDescent="0.2">
      <c r="A10" s="106" t="s">
        <v>68</v>
      </c>
      <c r="B10" s="107" t="s">
        <v>734</v>
      </c>
      <c r="C10" s="108" t="s">
        <v>643</v>
      </c>
      <c r="D10" s="108"/>
      <c r="E10" s="108"/>
      <c r="F10" s="109"/>
      <c r="G10" s="109"/>
      <c r="H10" s="109"/>
      <c r="I10" s="110">
        <v>4.5</v>
      </c>
      <c r="J10" s="108"/>
      <c r="K10" s="111" t="s">
        <v>15</v>
      </c>
      <c r="L10" s="108" t="s">
        <v>644</v>
      </c>
      <c r="M10" s="107" t="s">
        <v>735</v>
      </c>
    </row>
    <row r="11" spans="1:13" ht="45" customHeight="1" x14ac:dyDescent="0.2">
      <c r="A11" s="112" t="s">
        <v>736</v>
      </c>
      <c r="B11" s="113" t="s">
        <v>737</v>
      </c>
      <c r="C11" s="114" t="s">
        <v>643</v>
      </c>
      <c r="D11" s="114"/>
      <c r="E11" s="114"/>
      <c r="F11" s="115"/>
      <c r="G11" s="115"/>
      <c r="H11" s="115"/>
      <c r="I11" s="116">
        <v>4</v>
      </c>
      <c r="J11" s="114"/>
      <c r="K11" s="111" t="s">
        <v>15</v>
      </c>
      <c r="L11" s="114" t="s">
        <v>644</v>
      </c>
      <c r="M11" s="113" t="s">
        <v>738</v>
      </c>
    </row>
    <row r="12" spans="1:13" ht="45" customHeight="1" x14ac:dyDescent="0.2">
      <c r="A12" s="106" t="s">
        <v>739</v>
      </c>
      <c r="B12" s="107" t="s">
        <v>740</v>
      </c>
      <c r="C12" s="108" t="s">
        <v>643</v>
      </c>
      <c r="D12" s="108"/>
      <c r="E12" s="108"/>
      <c r="F12" s="109"/>
      <c r="G12" s="109"/>
      <c r="H12" s="109"/>
      <c r="I12" s="110">
        <v>3.5</v>
      </c>
      <c r="J12" s="108"/>
      <c r="K12" s="111" t="s">
        <v>15</v>
      </c>
      <c r="L12" s="108" t="s">
        <v>644</v>
      </c>
      <c r="M12" s="107" t="s">
        <v>741</v>
      </c>
    </row>
    <row r="13" spans="1:13" ht="45" customHeight="1" x14ac:dyDescent="0.2">
      <c r="A13" s="112" t="s">
        <v>742</v>
      </c>
      <c r="B13" s="113" t="s">
        <v>743</v>
      </c>
      <c r="C13" s="114" t="s">
        <v>643</v>
      </c>
      <c r="D13" s="114"/>
      <c r="E13" s="114"/>
      <c r="F13" s="115"/>
      <c r="G13" s="115"/>
      <c r="H13" s="115"/>
      <c r="I13" s="116">
        <v>2</v>
      </c>
      <c r="J13" s="114"/>
      <c r="K13" s="111" t="s">
        <v>15</v>
      </c>
      <c r="L13" s="114" t="s">
        <v>644</v>
      </c>
      <c r="M13" s="113" t="s">
        <v>744</v>
      </c>
    </row>
    <row r="14" spans="1:13" ht="45" customHeight="1" x14ac:dyDescent="0.2">
      <c r="A14" s="106" t="s">
        <v>745</v>
      </c>
      <c r="B14" s="107" t="s">
        <v>746</v>
      </c>
      <c r="C14" s="108" t="s">
        <v>643</v>
      </c>
      <c r="D14" s="108"/>
      <c r="E14" s="108"/>
      <c r="F14" s="109"/>
      <c r="G14" s="109"/>
      <c r="H14" s="109"/>
      <c r="I14" s="110">
        <v>1.3</v>
      </c>
      <c r="J14" s="108"/>
      <c r="K14" s="111" t="s">
        <v>15</v>
      </c>
      <c r="L14" s="108" t="s">
        <v>644</v>
      </c>
      <c r="M14" s="107" t="s">
        <v>747</v>
      </c>
    </row>
    <row r="15" spans="1:13" ht="5" customHeight="1" x14ac:dyDescent="0.2"/>
    <row r="16" spans="1:13" ht="40" customHeight="1" x14ac:dyDescent="0.2">
      <c r="A16" s="97" t="s">
        <v>69</v>
      </c>
      <c r="B16" s="98" t="s">
        <v>748</v>
      </c>
      <c r="C16" s="97" t="s">
        <v>640</v>
      </c>
      <c r="D16" s="97" t="s">
        <v>88</v>
      </c>
      <c r="E16" s="97" t="s">
        <v>89</v>
      </c>
      <c r="F16" s="99">
        <v>14</v>
      </c>
      <c r="G16" s="99">
        <v>22</v>
      </c>
      <c r="H16" s="99">
        <v>34</v>
      </c>
      <c r="I16" s="100">
        <v>22.7</v>
      </c>
      <c r="J16" s="97"/>
      <c r="K16" s="97" t="s">
        <v>15</v>
      </c>
      <c r="L16" s="97"/>
      <c r="M16" s="98" t="s">
        <v>749</v>
      </c>
    </row>
    <row r="17" spans="1:13" ht="45" customHeight="1" x14ac:dyDescent="0.2">
      <c r="A17" s="112" t="s">
        <v>72</v>
      </c>
      <c r="B17" s="113" t="s">
        <v>750</v>
      </c>
      <c r="C17" s="114" t="s">
        <v>643</v>
      </c>
      <c r="D17" s="114"/>
      <c r="E17" s="114"/>
      <c r="F17" s="115"/>
      <c r="G17" s="115"/>
      <c r="H17" s="115"/>
      <c r="I17" s="116">
        <v>3</v>
      </c>
      <c r="J17" s="114"/>
      <c r="K17" s="111" t="s">
        <v>15</v>
      </c>
      <c r="L17" s="114" t="s">
        <v>644</v>
      </c>
      <c r="M17" s="113" t="s">
        <v>751</v>
      </c>
    </row>
    <row r="18" spans="1:13" ht="45" customHeight="1" x14ac:dyDescent="0.2">
      <c r="A18" s="106" t="s">
        <v>73</v>
      </c>
      <c r="B18" s="107" t="s">
        <v>752</v>
      </c>
      <c r="C18" s="108" t="s">
        <v>643</v>
      </c>
      <c r="D18" s="108"/>
      <c r="E18" s="108"/>
      <c r="F18" s="109"/>
      <c r="G18" s="109"/>
      <c r="H18" s="109"/>
      <c r="I18" s="110">
        <v>3.5</v>
      </c>
      <c r="J18" s="108"/>
      <c r="K18" s="111" t="s">
        <v>15</v>
      </c>
      <c r="L18" s="108" t="s">
        <v>644</v>
      </c>
      <c r="M18" s="107" t="s">
        <v>753</v>
      </c>
    </row>
    <row r="19" spans="1:13" ht="45" customHeight="1" x14ac:dyDescent="0.2">
      <c r="A19" s="112" t="s">
        <v>74</v>
      </c>
      <c r="B19" s="113" t="s">
        <v>754</v>
      </c>
      <c r="C19" s="114" t="s">
        <v>643</v>
      </c>
      <c r="D19" s="114"/>
      <c r="E19" s="114"/>
      <c r="F19" s="115"/>
      <c r="G19" s="115"/>
      <c r="H19" s="115"/>
      <c r="I19" s="116">
        <v>3.5</v>
      </c>
      <c r="J19" s="114"/>
      <c r="K19" s="111" t="s">
        <v>15</v>
      </c>
      <c r="L19" s="114" t="s">
        <v>644</v>
      </c>
      <c r="M19" s="113" t="s">
        <v>755</v>
      </c>
    </row>
    <row r="20" spans="1:13" ht="45" customHeight="1" x14ac:dyDescent="0.2">
      <c r="A20" s="106" t="s">
        <v>75</v>
      </c>
      <c r="B20" s="107" t="s">
        <v>756</v>
      </c>
      <c r="C20" s="108" t="s">
        <v>643</v>
      </c>
      <c r="D20" s="108"/>
      <c r="E20" s="108"/>
      <c r="F20" s="109"/>
      <c r="G20" s="109"/>
      <c r="H20" s="109"/>
      <c r="I20" s="110">
        <v>3.5</v>
      </c>
      <c r="J20" s="108"/>
      <c r="K20" s="111" t="s">
        <v>15</v>
      </c>
      <c r="L20" s="108" t="s">
        <v>644</v>
      </c>
      <c r="M20" s="107" t="s">
        <v>757</v>
      </c>
    </row>
    <row r="21" spans="1:13" ht="45" customHeight="1" x14ac:dyDescent="0.2">
      <c r="A21" s="112" t="s">
        <v>758</v>
      </c>
      <c r="B21" s="113" t="s">
        <v>759</v>
      </c>
      <c r="C21" s="114" t="s">
        <v>643</v>
      </c>
      <c r="D21" s="114"/>
      <c r="E21" s="114"/>
      <c r="F21" s="115"/>
      <c r="G21" s="115"/>
      <c r="H21" s="115"/>
      <c r="I21" s="116">
        <v>3.5</v>
      </c>
      <c r="J21" s="114"/>
      <c r="K21" s="111" t="s">
        <v>15</v>
      </c>
      <c r="L21" s="114" t="s">
        <v>644</v>
      </c>
      <c r="M21" s="113" t="s">
        <v>760</v>
      </c>
    </row>
    <row r="22" spans="1:13" ht="45" customHeight="1" x14ac:dyDescent="0.2">
      <c r="A22" s="106" t="s">
        <v>761</v>
      </c>
      <c r="B22" s="107" t="s">
        <v>762</v>
      </c>
      <c r="C22" s="108" t="s">
        <v>643</v>
      </c>
      <c r="D22" s="108"/>
      <c r="E22" s="108"/>
      <c r="F22" s="109"/>
      <c r="G22" s="109"/>
      <c r="H22" s="109"/>
      <c r="I22" s="110">
        <v>3</v>
      </c>
      <c r="J22" s="108"/>
      <c r="K22" s="111" t="s">
        <v>15</v>
      </c>
      <c r="L22" s="108" t="s">
        <v>644</v>
      </c>
      <c r="M22" s="107" t="s">
        <v>763</v>
      </c>
    </row>
    <row r="23" spans="1:13" ht="45" customHeight="1" x14ac:dyDescent="0.2">
      <c r="A23" s="112" t="s">
        <v>764</v>
      </c>
      <c r="B23" s="113" t="s">
        <v>765</v>
      </c>
      <c r="C23" s="114" t="s">
        <v>643</v>
      </c>
      <c r="D23" s="114"/>
      <c r="E23" s="114"/>
      <c r="F23" s="115"/>
      <c r="G23" s="115"/>
      <c r="H23" s="115"/>
      <c r="I23" s="116">
        <v>2.7</v>
      </c>
      <c r="J23" s="114"/>
      <c r="K23" s="111" t="s">
        <v>15</v>
      </c>
      <c r="L23" s="114" t="s">
        <v>644</v>
      </c>
      <c r="M23" s="113" t="s">
        <v>766</v>
      </c>
    </row>
    <row r="24" spans="1:13" ht="5" customHeight="1" x14ac:dyDescent="0.2"/>
    <row r="25" spans="1:13" ht="40" customHeight="1" x14ac:dyDescent="0.2">
      <c r="A25" s="97" t="s">
        <v>76</v>
      </c>
      <c r="B25" s="98" t="s">
        <v>767</v>
      </c>
      <c r="C25" s="97" t="s">
        <v>640</v>
      </c>
      <c r="D25" s="97" t="s">
        <v>89</v>
      </c>
      <c r="E25" s="97" t="s">
        <v>91</v>
      </c>
      <c r="F25" s="99">
        <v>18</v>
      </c>
      <c r="G25" s="99">
        <v>29</v>
      </c>
      <c r="H25" s="99">
        <v>42</v>
      </c>
      <c r="I25" s="100">
        <v>29.3</v>
      </c>
      <c r="J25" s="97"/>
      <c r="K25" s="97" t="s">
        <v>15</v>
      </c>
      <c r="L25" s="97"/>
      <c r="M25" s="98" t="s">
        <v>768</v>
      </c>
    </row>
    <row r="26" spans="1:13" ht="45" customHeight="1" x14ac:dyDescent="0.2">
      <c r="A26" s="106" t="s">
        <v>78</v>
      </c>
      <c r="B26" s="107" t="s">
        <v>769</v>
      </c>
      <c r="C26" s="108" t="s">
        <v>643</v>
      </c>
      <c r="D26" s="108"/>
      <c r="E26" s="108"/>
      <c r="F26" s="109"/>
      <c r="G26" s="109"/>
      <c r="H26" s="109"/>
      <c r="I26" s="110">
        <v>1.5</v>
      </c>
      <c r="J26" s="108"/>
      <c r="K26" s="111" t="s">
        <v>15</v>
      </c>
      <c r="L26" s="108" t="s">
        <v>644</v>
      </c>
      <c r="M26" s="107" t="s">
        <v>770</v>
      </c>
    </row>
    <row r="27" spans="1:13" ht="45" customHeight="1" x14ac:dyDescent="0.2">
      <c r="A27" s="112" t="s">
        <v>79</v>
      </c>
      <c r="B27" s="113" t="s">
        <v>771</v>
      </c>
      <c r="C27" s="114" t="s">
        <v>643</v>
      </c>
      <c r="D27" s="114"/>
      <c r="E27" s="114"/>
      <c r="F27" s="115"/>
      <c r="G27" s="115"/>
      <c r="H27" s="115"/>
      <c r="I27" s="116">
        <v>3</v>
      </c>
      <c r="J27" s="114"/>
      <c r="K27" s="111" t="s">
        <v>15</v>
      </c>
      <c r="L27" s="114" t="s">
        <v>644</v>
      </c>
      <c r="M27" s="113" t="s">
        <v>772</v>
      </c>
    </row>
    <row r="28" spans="1:13" ht="45" customHeight="1" x14ac:dyDescent="0.2">
      <c r="A28" s="106" t="s">
        <v>80</v>
      </c>
      <c r="B28" s="107" t="s">
        <v>773</v>
      </c>
      <c r="C28" s="108" t="s">
        <v>643</v>
      </c>
      <c r="D28" s="108"/>
      <c r="E28" s="108"/>
      <c r="F28" s="109"/>
      <c r="G28" s="109"/>
      <c r="H28" s="109"/>
      <c r="I28" s="110">
        <v>3.5</v>
      </c>
      <c r="J28" s="108"/>
      <c r="K28" s="111" t="s">
        <v>15</v>
      </c>
      <c r="L28" s="108" t="s">
        <v>644</v>
      </c>
      <c r="M28" s="107" t="s">
        <v>774</v>
      </c>
    </row>
    <row r="29" spans="1:13" ht="45" customHeight="1" x14ac:dyDescent="0.2">
      <c r="A29" s="112" t="s">
        <v>81</v>
      </c>
      <c r="B29" s="113" t="s">
        <v>775</v>
      </c>
      <c r="C29" s="114" t="s">
        <v>643</v>
      </c>
      <c r="D29" s="114"/>
      <c r="E29" s="114"/>
      <c r="F29" s="115"/>
      <c r="G29" s="115"/>
      <c r="H29" s="115"/>
      <c r="I29" s="116">
        <v>2.5</v>
      </c>
      <c r="J29" s="114"/>
      <c r="K29" s="111" t="s">
        <v>15</v>
      </c>
      <c r="L29" s="114" t="s">
        <v>644</v>
      </c>
      <c r="M29" s="113" t="s">
        <v>776</v>
      </c>
    </row>
    <row r="30" spans="1:13" ht="45" customHeight="1" x14ac:dyDescent="0.2">
      <c r="A30" s="106" t="s">
        <v>82</v>
      </c>
      <c r="B30" s="107" t="s">
        <v>777</v>
      </c>
      <c r="C30" s="108" t="s">
        <v>643</v>
      </c>
      <c r="D30" s="108"/>
      <c r="E30" s="108"/>
      <c r="F30" s="109"/>
      <c r="G30" s="109"/>
      <c r="H30" s="109"/>
      <c r="I30" s="110">
        <v>3</v>
      </c>
      <c r="J30" s="108"/>
      <c r="K30" s="111" t="s">
        <v>15</v>
      </c>
      <c r="L30" s="108" t="s">
        <v>644</v>
      </c>
      <c r="M30" s="107" t="s">
        <v>778</v>
      </c>
    </row>
    <row r="31" spans="1:13" ht="45" customHeight="1" x14ac:dyDescent="0.2">
      <c r="A31" s="112" t="s">
        <v>779</v>
      </c>
      <c r="B31" s="113" t="s">
        <v>780</v>
      </c>
      <c r="C31" s="114" t="s">
        <v>643</v>
      </c>
      <c r="D31" s="114"/>
      <c r="E31" s="114"/>
      <c r="F31" s="115"/>
      <c r="G31" s="115"/>
      <c r="H31" s="115"/>
      <c r="I31" s="116">
        <v>2.5</v>
      </c>
      <c r="J31" s="114"/>
      <c r="K31" s="111" t="s">
        <v>15</v>
      </c>
      <c r="L31" s="114" t="s">
        <v>644</v>
      </c>
      <c r="M31" s="113" t="s">
        <v>781</v>
      </c>
    </row>
    <row r="32" spans="1:13" ht="45" customHeight="1" x14ac:dyDescent="0.2">
      <c r="A32" s="106" t="s">
        <v>782</v>
      </c>
      <c r="B32" s="107" t="s">
        <v>783</v>
      </c>
      <c r="C32" s="108" t="s">
        <v>643</v>
      </c>
      <c r="D32" s="108"/>
      <c r="E32" s="108"/>
      <c r="F32" s="109"/>
      <c r="G32" s="109"/>
      <c r="H32" s="109"/>
      <c r="I32" s="110">
        <v>3</v>
      </c>
      <c r="J32" s="108"/>
      <c r="K32" s="111" t="s">
        <v>15</v>
      </c>
      <c r="L32" s="108" t="s">
        <v>644</v>
      </c>
      <c r="M32" s="107" t="s">
        <v>784</v>
      </c>
    </row>
    <row r="33" spans="1:13" ht="45" customHeight="1" x14ac:dyDescent="0.2">
      <c r="A33" s="112" t="s">
        <v>785</v>
      </c>
      <c r="B33" s="113" t="s">
        <v>786</v>
      </c>
      <c r="C33" s="114" t="s">
        <v>643</v>
      </c>
      <c r="D33" s="114"/>
      <c r="E33" s="114"/>
      <c r="F33" s="115"/>
      <c r="G33" s="115"/>
      <c r="H33" s="115"/>
      <c r="I33" s="116">
        <v>3.5</v>
      </c>
      <c r="J33" s="114"/>
      <c r="K33" s="111" t="s">
        <v>15</v>
      </c>
      <c r="L33" s="114" t="s">
        <v>644</v>
      </c>
      <c r="M33" s="113" t="s">
        <v>787</v>
      </c>
    </row>
    <row r="34" spans="1:13" ht="45" customHeight="1" x14ac:dyDescent="0.2">
      <c r="A34" s="106" t="s">
        <v>788</v>
      </c>
      <c r="B34" s="107" t="s">
        <v>789</v>
      </c>
      <c r="C34" s="108" t="s">
        <v>643</v>
      </c>
      <c r="D34" s="108"/>
      <c r="E34" s="108"/>
      <c r="F34" s="109"/>
      <c r="G34" s="109"/>
      <c r="H34" s="109"/>
      <c r="I34" s="110">
        <v>2</v>
      </c>
      <c r="J34" s="108"/>
      <c r="K34" s="111" t="s">
        <v>15</v>
      </c>
      <c r="L34" s="108" t="s">
        <v>644</v>
      </c>
      <c r="M34" s="107" t="s">
        <v>790</v>
      </c>
    </row>
    <row r="35" spans="1:13" ht="45" customHeight="1" x14ac:dyDescent="0.2">
      <c r="A35" s="112" t="s">
        <v>791</v>
      </c>
      <c r="B35" s="113" t="s">
        <v>792</v>
      </c>
      <c r="C35" s="114" t="s">
        <v>643</v>
      </c>
      <c r="D35" s="114"/>
      <c r="E35" s="114"/>
      <c r="F35" s="115"/>
      <c r="G35" s="115"/>
      <c r="H35" s="115"/>
      <c r="I35" s="116">
        <v>2</v>
      </c>
      <c r="J35" s="114"/>
      <c r="K35" s="111" t="s">
        <v>15</v>
      </c>
      <c r="L35" s="114" t="s">
        <v>644</v>
      </c>
      <c r="M35" s="113" t="s">
        <v>793</v>
      </c>
    </row>
    <row r="36" spans="1:13" ht="45" customHeight="1" x14ac:dyDescent="0.2">
      <c r="A36" s="106" t="s">
        <v>794</v>
      </c>
      <c r="B36" s="107" t="s">
        <v>795</v>
      </c>
      <c r="C36" s="108" t="s">
        <v>643</v>
      </c>
      <c r="D36" s="108"/>
      <c r="E36" s="108"/>
      <c r="F36" s="109"/>
      <c r="G36" s="109"/>
      <c r="H36" s="109"/>
      <c r="I36" s="110">
        <v>2.8</v>
      </c>
      <c r="J36" s="108"/>
      <c r="K36" s="111" t="s">
        <v>15</v>
      </c>
      <c r="L36" s="108" t="s">
        <v>644</v>
      </c>
      <c r="M36" s="107" t="s">
        <v>796</v>
      </c>
    </row>
    <row r="37" spans="1:13" ht="5" customHeight="1" x14ac:dyDescent="0.2"/>
    <row r="38" spans="1:13" ht="40" customHeight="1" x14ac:dyDescent="0.2">
      <c r="A38" s="97" t="s">
        <v>83</v>
      </c>
      <c r="B38" s="98" t="s">
        <v>797</v>
      </c>
      <c r="C38" s="97" t="s">
        <v>640</v>
      </c>
      <c r="D38" s="97" t="s">
        <v>91</v>
      </c>
      <c r="E38" s="97" t="s">
        <v>798</v>
      </c>
      <c r="F38" s="99">
        <v>6</v>
      </c>
      <c r="G38" s="99">
        <v>10</v>
      </c>
      <c r="H38" s="99">
        <v>16</v>
      </c>
      <c r="I38" s="100">
        <v>10.3</v>
      </c>
      <c r="J38" s="97"/>
      <c r="K38" s="97" t="s">
        <v>15</v>
      </c>
      <c r="L38" s="97"/>
      <c r="M38" s="98" t="s">
        <v>799</v>
      </c>
    </row>
    <row r="39" spans="1:13" ht="45" customHeight="1" x14ac:dyDescent="0.2">
      <c r="A39" s="112" t="s">
        <v>85</v>
      </c>
      <c r="B39" s="113" t="s">
        <v>800</v>
      </c>
      <c r="C39" s="114" t="s">
        <v>643</v>
      </c>
      <c r="D39" s="114"/>
      <c r="E39" s="114"/>
      <c r="F39" s="115"/>
      <c r="G39" s="115"/>
      <c r="H39" s="115"/>
      <c r="I39" s="116">
        <v>3</v>
      </c>
      <c r="J39" s="114"/>
      <c r="K39" s="111" t="s">
        <v>15</v>
      </c>
      <c r="L39" s="114" t="s">
        <v>644</v>
      </c>
      <c r="M39" s="113" t="s">
        <v>801</v>
      </c>
    </row>
    <row r="40" spans="1:13" ht="45" customHeight="1" x14ac:dyDescent="0.2">
      <c r="A40" s="106" t="s">
        <v>86</v>
      </c>
      <c r="B40" s="107" t="s">
        <v>802</v>
      </c>
      <c r="C40" s="108" t="s">
        <v>643</v>
      </c>
      <c r="D40" s="108"/>
      <c r="E40" s="108"/>
      <c r="F40" s="109"/>
      <c r="G40" s="109"/>
      <c r="H40" s="109"/>
      <c r="I40" s="110">
        <v>2</v>
      </c>
      <c r="J40" s="108"/>
      <c r="K40" s="111" t="s">
        <v>15</v>
      </c>
      <c r="L40" s="108" t="s">
        <v>644</v>
      </c>
      <c r="M40" s="107" t="s">
        <v>803</v>
      </c>
    </row>
    <row r="41" spans="1:13" ht="45" customHeight="1" x14ac:dyDescent="0.2">
      <c r="A41" s="112" t="s">
        <v>87</v>
      </c>
      <c r="B41" s="113" t="s">
        <v>804</v>
      </c>
      <c r="C41" s="114" t="s">
        <v>643</v>
      </c>
      <c r="D41" s="114"/>
      <c r="E41" s="114"/>
      <c r="F41" s="115"/>
      <c r="G41" s="115"/>
      <c r="H41" s="115"/>
      <c r="I41" s="116">
        <v>2</v>
      </c>
      <c r="J41" s="114"/>
      <c r="K41" s="111" t="s">
        <v>15</v>
      </c>
      <c r="L41" s="114" t="s">
        <v>644</v>
      </c>
      <c r="M41" s="113" t="s">
        <v>805</v>
      </c>
    </row>
    <row r="42" spans="1:13" ht="45" customHeight="1" x14ac:dyDescent="0.2">
      <c r="A42" s="106" t="s">
        <v>806</v>
      </c>
      <c r="B42" s="107" t="s">
        <v>807</v>
      </c>
      <c r="C42" s="108" t="s">
        <v>643</v>
      </c>
      <c r="D42" s="108"/>
      <c r="E42" s="108"/>
      <c r="F42" s="109"/>
      <c r="G42" s="109"/>
      <c r="H42" s="109"/>
      <c r="I42" s="110">
        <v>2</v>
      </c>
      <c r="J42" s="108"/>
      <c r="K42" s="111" t="s">
        <v>15</v>
      </c>
      <c r="L42" s="108" t="s">
        <v>644</v>
      </c>
      <c r="M42" s="107" t="s">
        <v>808</v>
      </c>
    </row>
    <row r="43" spans="1:13" ht="45" customHeight="1" x14ac:dyDescent="0.2">
      <c r="A43" s="112" t="s">
        <v>809</v>
      </c>
      <c r="B43" s="113" t="s">
        <v>810</v>
      </c>
      <c r="C43" s="114" t="s">
        <v>643</v>
      </c>
      <c r="D43" s="114"/>
      <c r="E43" s="114"/>
      <c r="F43" s="115"/>
      <c r="G43" s="115"/>
      <c r="H43" s="115"/>
      <c r="I43" s="116">
        <v>1.3</v>
      </c>
      <c r="J43" s="114"/>
      <c r="K43" s="111" t="s">
        <v>15</v>
      </c>
      <c r="L43" s="114" t="s">
        <v>644</v>
      </c>
      <c r="M43" s="113" t="s">
        <v>811</v>
      </c>
    </row>
    <row r="44" spans="1:13" ht="5" customHeight="1" x14ac:dyDescent="0.2"/>
    <row r="45" spans="1:13" ht="40" customHeight="1" x14ac:dyDescent="0.2">
      <c r="A45" s="64" t="s">
        <v>812</v>
      </c>
      <c r="B45" s="65" t="s">
        <v>813</v>
      </c>
      <c r="C45" s="64" t="s">
        <v>718</v>
      </c>
      <c r="D45" s="64" t="s">
        <v>77</v>
      </c>
      <c r="E45" s="64" t="s">
        <v>798</v>
      </c>
      <c r="F45" s="80"/>
      <c r="G45" s="80"/>
      <c r="H45" s="80"/>
      <c r="I45" s="81">
        <v>13</v>
      </c>
      <c r="J45" s="64"/>
      <c r="K45" s="64"/>
      <c r="L45" s="64"/>
      <c r="M45" s="65" t="s">
        <v>814</v>
      </c>
    </row>
  </sheetData>
  <mergeCells count="2">
    <mergeCell ref="A1:M1"/>
    <mergeCell ref="A2:M2"/>
  </mergeCells>
  <dataValidations disablePrompts="1" count="1">
    <dataValidation type="list" showErrorMessage="1" errorTitle="Invalid Status" error="Choose: Not Started, In Progress, Complete, Blocked, or At Risk" sqref="J6 J7 J8 J9 J10 J12 J13 J14 J15 J17 J18 J19 J20 J21 J23 J24 J25 J27 J28 J29 J30 J32 J33 J34 J36 J37 J39 J40 J41 J43 J44 J45 J47 J48" xr:uid="{00000000-0002-0000-0200-000000000000}">
      <formula1>"Not Started,In Progress,Complete,Blocked,At Risk"</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6"/>
  <sheetViews>
    <sheetView showGridLines="0" workbookViewId="0">
      <pane ySplit="4" topLeftCell="A13" activePane="bottomLeft" state="frozen"/>
      <selection pane="bottomLeft" activeCell="B40" sqref="B40"/>
    </sheetView>
  </sheetViews>
  <sheetFormatPr baseColWidth="10" defaultColWidth="8.83203125" defaultRowHeight="15" x14ac:dyDescent="0.2"/>
  <cols>
    <col min="1" max="1" width="14" customWidth="1"/>
    <col min="2" max="2" width="52" customWidth="1"/>
    <col min="3" max="5" width="13" customWidth="1"/>
    <col min="6" max="9" width="11" customWidth="1"/>
    <col min="10" max="10" width="12" customWidth="1"/>
    <col min="11" max="11" width="17" customWidth="1"/>
    <col min="12" max="12" width="10" customWidth="1"/>
    <col min="13" max="13" width="38" customWidth="1"/>
  </cols>
  <sheetData>
    <row r="1" spans="1:13" ht="50" customHeight="1" x14ac:dyDescent="0.2">
      <c r="A1" s="66" t="s">
        <v>815</v>
      </c>
      <c r="B1" s="3"/>
      <c r="C1" s="3"/>
      <c r="D1" s="3"/>
      <c r="E1" s="3"/>
      <c r="F1" s="3"/>
      <c r="G1" s="3"/>
      <c r="H1" s="3"/>
      <c r="I1" s="3"/>
      <c r="J1" s="3"/>
      <c r="K1" s="3"/>
      <c r="L1" s="3"/>
      <c r="M1" s="3"/>
    </row>
    <row r="2" spans="1:13" ht="22" customHeight="1" x14ac:dyDescent="0.2">
      <c r="A2" s="67" t="s">
        <v>816</v>
      </c>
      <c r="B2" s="3"/>
      <c r="C2" s="3"/>
      <c r="D2" s="3"/>
      <c r="E2" s="3"/>
      <c r="F2" s="3"/>
      <c r="G2" s="3"/>
      <c r="H2" s="3"/>
      <c r="I2" s="3"/>
      <c r="J2" s="3"/>
      <c r="K2" s="3"/>
      <c r="L2" s="3"/>
      <c r="M2" s="3"/>
    </row>
    <row r="3" spans="1:13" ht="6" customHeight="1" x14ac:dyDescent="0.2"/>
    <row r="4" spans="1:13" ht="50" customHeight="1" x14ac:dyDescent="0.2">
      <c r="A4" s="117" t="s">
        <v>19</v>
      </c>
      <c r="B4" s="117" t="s">
        <v>636</v>
      </c>
      <c r="C4" s="117" t="s">
        <v>637</v>
      </c>
      <c r="D4" s="117" t="s">
        <v>31</v>
      </c>
      <c r="E4" s="117" t="s">
        <v>32</v>
      </c>
      <c r="F4" s="117" t="s">
        <v>33</v>
      </c>
      <c r="G4" s="117" t="s">
        <v>34</v>
      </c>
      <c r="H4" s="117" t="s">
        <v>35</v>
      </c>
      <c r="I4" s="117" t="s">
        <v>11</v>
      </c>
      <c r="J4" s="117" t="s">
        <v>36</v>
      </c>
      <c r="K4" s="117" t="s">
        <v>10</v>
      </c>
      <c r="L4" s="117" t="s">
        <v>638</v>
      </c>
      <c r="M4" s="117" t="s">
        <v>37</v>
      </c>
    </row>
    <row r="5" spans="1:13" ht="40" customHeight="1" x14ac:dyDescent="0.2">
      <c r="A5" s="97" t="s">
        <v>93</v>
      </c>
      <c r="B5" s="98" t="s">
        <v>817</v>
      </c>
      <c r="C5" s="97" t="s">
        <v>640</v>
      </c>
      <c r="D5" s="97" t="s">
        <v>29</v>
      </c>
      <c r="E5" s="97" t="s">
        <v>92</v>
      </c>
      <c r="F5" s="99">
        <v>12</v>
      </c>
      <c r="G5" s="99">
        <v>18</v>
      </c>
      <c r="H5" s="99">
        <v>28</v>
      </c>
      <c r="I5" s="100">
        <v>18.7</v>
      </c>
      <c r="J5" s="97"/>
      <c r="K5" s="97" t="s">
        <v>15</v>
      </c>
      <c r="L5" s="97"/>
      <c r="M5" s="98" t="s">
        <v>818</v>
      </c>
    </row>
    <row r="6" spans="1:13" ht="45" customHeight="1" x14ac:dyDescent="0.2">
      <c r="A6" s="106" t="s">
        <v>94</v>
      </c>
      <c r="B6" s="107" t="s">
        <v>819</v>
      </c>
      <c r="C6" s="108" t="s">
        <v>643</v>
      </c>
      <c r="D6" s="108"/>
      <c r="E6" s="108"/>
      <c r="F6" s="109"/>
      <c r="G6" s="109"/>
      <c r="H6" s="109"/>
      <c r="I6" s="110">
        <v>2.5</v>
      </c>
      <c r="J6" s="108"/>
      <c r="K6" s="111" t="s">
        <v>15</v>
      </c>
      <c r="L6" s="108" t="s">
        <v>644</v>
      </c>
      <c r="M6" s="107" t="s">
        <v>820</v>
      </c>
    </row>
    <row r="7" spans="1:13" ht="45" customHeight="1" x14ac:dyDescent="0.2">
      <c r="A7" s="112" t="s">
        <v>95</v>
      </c>
      <c r="B7" s="113" t="s">
        <v>821</v>
      </c>
      <c r="C7" s="114" t="s">
        <v>643</v>
      </c>
      <c r="D7" s="114"/>
      <c r="E7" s="114"/>
      <c r="F7" s="115"/>
      <c r="G7" s="115"/>
      <c r="H7" s="115"/>
      <c r="I7" s="116">
        <v>2</v>
      </c>
      <c r="J7" s="114"/>
      <c r="K7" s="111" t="s">
        <v>15</v>
      </c>
      <c r="L7" s="114" t="s">
        <v>644</v>
      </c>
      <c r="M7" s="113" t="s">
        <v>822</v>
      </c>
    </row>
    <row r="8" spans="1:13" ht="45" customHeight="1" x14ac:dyDescent="0.2">
      <c r="A8" s="106" t="s">
        <v>823</v>
      </c>
      <c r="B8" s="107" t="s">
        <v>824</v>
      </c>
      <c r="C8" s="108" t="s">
        <v>643</v>
      </c>
      <c r="D8" s="108"/>
      <c r="E8" s="108"/>
      <c r="F8" s="109"/>
      <c r="G8" s="109"/>
      <c r="H8" s="109"/>
      <c r="I8" s="110">
        <v>2</v>
      </c>
      <c r="J8" s="108"/>
      <c r="K8" s="111" t="s">
        <v>15</v>
      </c>
      <c r="L8" s="108" t="s">
        <v>644</v>
      </c>
      <c r="M8" s="107" t="s">
        <v>825</v>
      </c>
    </row>
    <row r="9" spans="1:13" ht="45" customHeight="1" x14ac:dyDescent="0.2">
      <c r="A9" s="112" t="s">
        <v>826</v>
      </c>
      <c r="B9" s="113" t="s">
        <v>827</v>
      </c>
      <c r="C9" s="114" t="s">
        <v>643</v>
      </c>
      <c r="D9" s="114"/>
      <c r="E9" s="114"/>
      <c r="F9" s="115"/>
      <c r="G9" s="115"/>
      <c r="H9" s="115"/>
      <c r="I9" s="116">
        <v>3</v>
      </c>
      <c r="J9" s="114"/>
      <c r="K9" s="111" t="s">
        <v>15</v>
      </c>
      <c r="L9" s="114" t="s">
        <v>644</v>
      </c>
      <c r="M9" s="113" t="s">
        <v>828</v>
      </c>
    </row>
    <row r="10" spans="1:13" ht="45" customHeight="1" x14ac:dyDescent="0.2">
      <c r="A10" s="106" t="s">
        <v>829</v>
      </c>
      <c r="B10" s="107" t="s">
        <v>830</v>
      </c>
      <c r="C10" s="108" t="s">
        <v>643</v>
      </c>
      <c r="D10" s="108"/>
      <c r="E10" s="108"/>
      <c r="F10" s="109"/>
      <c r="G10" s="109"/>
      <c r="H10" s="109"/>
      <c r="I10" s="110">
        <v>3</v>
      </c>
      <c r="J10" s="108"/>
      <c r="K10" s="111" t="s">
        <v>15</v>
      </c>
      <c r="L10" s="108" t="s">
        <v>644</v>
      </c>
      <c r="M10" s="107" t="s">
        <v>831</v>
      </c>
    </row>
    <row r="11" spans="1:13" ht="45" customHeight="1" x14ac:dyDescent="0.2">
      <c r="A11" s="112" t="s">
        <v>832</v>
      </c>
      <c r="B11" s="113" t="s">
        <v>833</v>
      </c>
      <c r="C11" s="114" t="s">
        <v>643</v>
      </c>
      <c r="D11" s="114"/>
      <c r="E11" s="114"/>
      <c r="F11" s="115"/>
      <c r="G11" s="115"/>
      <c r="H11" s="115"/>
      <c r="I11" s="116">
        <v>2</v>
      </c>
      <c r="J11" s="114"/>
      <c r="K11" s="111" t="s">
        <v>15</v>
      </c>
      <c r="L11" s="114" t="s">
        <v>644</v>
      </c>
      <c r="M11" s="113" t="s">
        <v>834</v>
      </c>
    </row>
    <row r="12" spans="1:13" ht="45" customHeight="1" x14ac:dyDescent="0.2">
      <c r="A12" s="106" t="s">
        <v>835</v>
      </c>
      <c r="B12" s="107" t="s">
        <v>836</v>
      </c>
      <c r="C12" s="108" t="s">
        <v>643</v>
      </c>
      <c r="D12" s="108"/>
      <c r="E12" s="108"/>
      <c r="F12" s="109"/>
      <c r="G12" s="109"/>
      <c r="H12" s="109"/>
      <c r="I12" s="110">
        <v>2.5</v>
      </c>
      <c r="J12" s="108"/>
      <c r="K12" s="111" t="s">
        <v>15</v>
      </c>
      <c r="L12" s="108" t="s">
        <v>644</v>
      </c>
      <c r="M12" s="107" t="s">
        <v>837</v>
      </c>
    </row>
    <row r="13" spans="1:13" ht="45" customHeight="1" x14ac:dyDescent="0.2">
      <c r="A13" s="112" t="s">
        <v>838</v>
      </c>
      <c r="B13" s="113" t="s">
        <v>839</v>
      </c>
      <c r="C13" s="114" t="s">
        <v>643</v>
      </c>
      <c r="D13" s="114"/>
      <c r="E13" s="114"/>
      <c r="F13" s="115"/>
      <c r="G13" s="115"/>
      <c r="H13" s="115"/>
      <c r="I13" s="116">
        <v>1.7</v>
      </c>
      <c r="J13" s="114"/>
      <c r="K13" s="111" t="s">
        <v>15</v>
      </c>
      <c r="L13" s="114" t="s">
        <v>644</v>
      </c>
      <c r="M13" s="113" t="s">
        <v>840</v>
      </c>
    </row>
    <row r="14" spans="1:13" ht="5" customHeight="1" x14ac:dyDescent="0.2"/>
    <row r="15" spans="1:13" ht="40" customHeight="1" x14ac:dyDescent="0.2">
      <c r="A15" s="97" t="s">
        <v>96</v>
      </c>
      <c r="B15" s="98" t="s">
        <v>841</v>
      </c>
      <c r="C15" s="97" t="s">
        <v>640</v>
      </c>
      <c r="D15" s="97" t="s">
        <v>92</v>
      </c>
      <c r="E15" s="97" t="s">
        <v>14</v>
      </c>
      <c r="F15" s="99">
        <v>12</v>
      </c>
      <c r="G15" s="99">
        <v>18</v>
      </c>
      <c r="H15" s="99">
        <v>28</v>
      </c>
      <c r="I15" s="100">
        <v>18.7</v>
      </c>
      <c r="J15" s="97"/>
      <c r="K15" s="97" t="s">
        <v>15</v>
      </c>
      <c r="L15" s="97"/>
      <c r="M15" s="98" t="s">
        <v>842</v>
      </c>
    </row>
    <row r="16" spans="1:13" ht="45" customHeight="1" x14ac:dyDescent="0.2">
      <c r="A16" s="106" t="s">
        <v>97</v>
      </c>
      <c r="B16" s="107" t="s">
        <v>843</v>
      </c>
      <c r="C16" s="108" t="s">
        <v>643</v>
      </c>
      <c r="D16" s="108"/>
      <c r="E16" s="108"/>
      <c r="F16" s="109"/>
      <c r="G16" s="109"/>
      <c r="H16" s="109"/>
      <c r="I16" s="110">
        <v>2.5</v>
      </c>
      <c r="J16" s="108"/>
      <c r="K16" s="111" t="s">
        <v>15</v>
      </c>
      <c r="L16" s="108" t="s">
        <v>644</v>
      </c>
      <c r="M16" s="107" t="s">
        <v>844</v>
      </c>
    </row>
    <row r="17" spans="1:13" ht="45" customHeight="1" x14ac:dyDescent="0.2">
      <c r="A17" s="112" t="s">
        <v>98</v>
      </c>
      <c r="B17" s="113" t="s">
        <v>845</v>
      </c>
      <c r="C17" s="114" t="s">
        <v>643</v>
      </c>
      <c r="D17" s="114"/>
      <c r="E17" s="114"/>
      <c r="F17" s="115"/>
      <c r="G17" s="115"/>
      <c r="H17" s="115"/>
      <c r="I17" s="116">
        <v>2</v>
      </c>
      <c r="J17" s="114"/>
      <c r="K17" s="111" t="s">
        <v>15</v>
      </c>
      <c r="L17" s="114" t="s">
        <v>644</v>
      </c>
      <c r="M17" s="113" t="s">
        <v>846</v>
      </c>
    </row>
    <row r="18" spans="1:13" ht="45" customHeight="1" x14ac:dyDescent="0.2">
      <c r="A18" s="106" t="s">
        <v>99</v>
      </c>
      <c r="B18" s="107" t="s">
        <v>847</v>
      </c>
      <c r="C18" s="108" t="s">
        <v>643</v>
      </c>
      <c r="D18" s="108"/>
      <c r="E18" s="108"/>
      <c r="F18" s="109"/>
      <c r="G18" s="109"/>
      <c r="H18" s="109"/>
      <c r="I18" s="110">
        <v>3</v>
      </c>
      <c r="J18" s="108"/>
      <c r="K18" s="111" t="s">
        <v>15</v>
      </c>
      <c r="L18" s="108" t="s">
        <v>644</v>
      </c>
      <c r="M18" s="107" t="s">
        <v>848</v>
      </c>
    </row>
    <row r="19" spans="1:13" ht="45" customHeight="1" x14ac:dyDescent="0.2">
      <c r="A19" s="112" t="s">
        <v>849</v>
      </c>
      <c r="B19" s="113" t="s">
        <v>850</v>
      </c>
      <c r="C19" s="114" t="s">
        <v>643</v>
      </c>
      <c r="D19" s="114"/>
      <c r="E19" s="114"/>
      <c r="F19" s="115"/>
      <c r="G19" s="115"/>
      <c r="H19" s="115"/>
      <c r="I19" s="116">
        <v>1.5</v>
      </c>
      <c r="J19" s="114"/>
      <c r="K19" s="111" t="s">
        <v>15</v>
      </c>
      <c r="L19" s="114" t="s">
        <v>644</v>
      </c>
      <c r="M19" s="113" t="s">
        <v>851</v>
      </c>
    </row>
    <row r="20" spans="1:13" ht="45" customHeight="1" x14ac:dyDescent="0.2">
      <c r="A20" s="106" t="s">
        <v>852</v>
      </c>
      <c r="B20" s="107" t="s">
        <v>853</v>
      </c>
      <c r="C20" s="108" t="s">
        <v>643</v>
      </c>
      <c r="D20" s="108"/>
      <c r="E20" s="108"/>
      <c r="F20" s="109"/>
      <c r="G20" s="109"/>
      <c r="H20" s="109"/>
      <c r="I20" s="110">
        <v>1.5</v>
      </c>
      <c r="J20" s="108"/>
      <c r="K20" s="111" t="s">
        <v>15</v>
      </c>
      <c r="L20" s="108" t="s">
        <v>644</v>
      </c>
      <c r="M20" s="107" t="s">
        <v>854</v>
      </c>
    </row>
    <row r="21" spans="1:13" ht="45" customHeight="1" x14ac:dyDescent="0.2">
      <c r="A21" s="112" t="s">
        <v>855</v>
      </c>
      <c r="B21" s="113" t="s">
        <v>856</v>
      </c>
      <c r="C21" s="114" t="s">
        <v>643</v>
      </c>
      <c r="D21" s="114"/>
      <c r="E21" s="114"/>
      <c r="F21" s="115"/>
      <c r="G21" s="115"/>
      <c r="H21" s="115"/>
      <c r="I21" s="116">
        <v>1.5</v>
      </c>
      <c r="J21" s="114"/>
      <c r="K21" s="111" t="s">
        <v>15</v>
      </c>
      <c r="L21" s="114" t="s">
        <v>644</v>
      </c>
      <c r="M21" s="113" t="s">
        <v>857</v>
      </c>
    </row>
    <row r="22" spans="1:13" ht="45" customHeight="1" x14ac:dyDescent="0.2">
      <c r="A22" s="106" t="s">
        <v>858</v>
      </c>
      <c r="B22" s="107" t="s">
        <v>859</v>
      </c>
      <c r="C22" s="108" t="s">
        <v>643</v>
      </c>
      <c r="D22" s="108"/>
      <c r="E22" s="108"/>
      <c r="F22" s="109"/>
      <c r="G22" s="109"/>
      <c r="H22" s="109"/>
      <c r="I22" s="110">
        <v>3.2</v>
      </c>
      <c r="J22" s="108"/>
      <c r="K22" s="111" t="s">
        <v>15</v>
      </c>
      <c r="L22" s="108" t="s">
        <v>644</v>
      </c>
      <c r="M22" s="107" t="s">
        <v>860</v>
      </c>
    </row>
    <row r="23" spans="1:13" ht="45" customHeight="1" x14ac:dyDescent="0.2">
      <c r="A23" s="112" t="s">
        <v>861</v>
      </c>
      <c r="B23" s="113" t="s">
        <v>862</v>
      </c>
      <c r="C23" s="114" t="s">
        <v>643</v>
      </c>
      <c r="D23" s="114"/>
      <c r="E23" s="114"/>
      <c r="F23" s="115"/>
      <c r="G23" s="115"/>
      <c r="H23" s="115"/>
      <c r="I23" s="116">
        <v>3.5</v>
      </c>
      <c r="J23" s="114"/>
      <c r="K23" s="111" t="s">
        <v>15</v>
      </c>
      <c r="L23" s="114" t="s">
        <v>644</v>
      </c>
      <c r="M23" s="113" t="s">
        <v>863</v>
      </c>
    </row>
    <row r="24" spans="1:13" ht="5" customHeight="1" x14ac:dyDescent="0.2"/>
    <row r="25" spans="1:13" ht="40" customHeight="1" x14ac:dyDescent="0.2">
      <c r="A25" s="97" t="s">
        <v>100</v>
      </c>
      <c r="B25" s="98" t="s">
        <v>864</v>
      </c>
      <c r="C25" s="97" t="s">
        <v>640</v>
      </c>
      <c r="D25" s="97" t="s">
        <v>14</v>
      </c>
      <c r="E25" s="97" t="s">
        <v>108</v>
      </c>
      <c r="F25" s="99">
        <v>12</v>
      </c>
      <c r="G25" s="99">
        <v>18</v>
      </c>
      <c r="H25" s="99">
        <v>28</v>
      </c>
      <c r="I25" s="100">
        <v>18.7</v>
      </c>
      <c r="J25" s="97"/>
      <c r="K25" s="97" t="s">
        <v>15</v>
      </c>
      <c r="L25" s="97"/>
      <c r="M25" s="98" t="s">
        <v>865</v>
      </c>
    </row>
    <row r="26" spans="1:13" ht="45" customHeight="1" x14ac:dyDescent="0.2">
      <c r="A26" s="106" t="s">
        <v>101</v>
      </c>
      <c r="B26" s="107" t="s">
        <v>866</v>
      </c>
      <c r="C26" s="108" t="s">
        <v>643</v>
      </c>
      <c r="D26" s="108"/>
      <c r="E26" s="108"/>
      <c r="F26" s="109"/>
      <c r="G26" s="109"/>
      <c r="H26" s="109"/>
      <c r="I26" s="110">
        <v>4</v>
      </c>
      <c r="J26" s="108"/>
      <c r="K26" s="111" t="s">
        <v>15</v>
      </c>
      <c r="L26" s="108" t="s">
        <v>644</v>
      </c>
      <c r="M26" s="107" t="s">
        <v>867</v>
      </c>
    </row>
    <row r="27" spans="1:13" ht="45" customHeight="1" x14ac:dyDescent="0.2">
      <c r="A27" s="112" t="s">
        <v>102</v>
      </c>
      <c r="B27" s="113" t="s">
        <v>868</v>
      </c>
      <c r="C27" s="114" t="s">
        <v>643</v>
      </c>
      <c r="D27" s="114"/>
      <c r="E27" s="114"/>
      <c r="F27" s="115"/>
      <c r="G27" s="115"/>
      <c r="H27" s="115"/>
      <c r="I27" s="116">
        <v>3</v>
      </c>
      <c r="J27" s="114"/>
      <c r="K27" s="111" t="s">
        <v>15</v>
      </c>
      <c r="L27" s="114" t="s">
        <v>644</v>
      </c>
      <c r="M27" s="113" t="s">
        <v>869</v>
      </c>
    </row>
    <row r="28" spans="1:13" ht="45" customHeight="1" x14ac:dyDescent="0.2">
      <c r="A28" s="106" t="s">
        <v>870</v>
      </c>
      <c r="B28" s="107" t="s">
        <v>871</v>
      </c>
      <c r="C28" s="108" t="s">
        <v>643</v>
      </c>
      <c r="D28" s="108"/>
      <c r="E28" s="108"/>
      <c r="F28" s="109"/>
      <c r="G28" s="109"/>
      <c r="H28" s="109"/>
      <c r="I28" s="110">
        <v>2</v>
      </c>
      <c r="J28" s="108"/>
      <c r="K28" s="111" t="s">
        <v>15</v>
      </c>
      <c r="L28" s="108" t="s">
        <v>644</v>
      </c>
      <c r="M28" s="107" t="s">
        <v>872</v>
      </c>
    </row>
    <row r="29" spans="1:13" ht="45" customHeight="1" x14ac:dyDescent="0.2">
      <c r="A29" s="112" t="s">
        <v>873</v>
      </c>
      <c r="B29" s="113" t="s">
        <v>874</v>
      </c>
      <c r="C29" s="114" t="s">
        <v>643</v>
      </c>
      <c r="D29" s="114"/>
      <c r="E29" s="114"/>
      <c r="F29" s="115"/>
      <c r="G29" s="115"/>
      <c r="H29" s="115"/>
      <c r="I29" s="116">
        <v>2</v>
      </c>
      <c r="J29" s="114"/>
      <c r="K29" s="111" t="s">
        <v>15</v>
      </c>
      <c r="L29" s="114" t="s">
        <v>644</v>
      </c>
      <c r="M29" s="113" t="s">
        <v>875</v>
      </c>
    </row>
    <row r="30" spans="1:13" ht="45" customHeight="1" x14ac:dyDescent="0.2">
      <c r="A30" s="106" t="s">
        <v>876</v>
      </c>
      <c r="B30" s="107" t="s">
        <v>877</v>
      </c>
      <c r="C30" s="108" t="s">
        <v>643</v>
      </c>
      <c r="D30" s="108"/>
      <c r="E30" s="108"/>
      <c r="F30" s="109"/>
      <c r="G30" s="109"/>
      <c r="H30" s="109"/>
      <c r="I30" s="110">
        <v>2</v>
      </c>
      <c r="J30" s="108"/>
      <c r="K30" s="111" t="s">
        <v>15</v>
      </c>
      <c r="L30" s="108" t="s">
        <v>644</v>
      </c>
      <c r="M30" s="107" t="s">
        <v>878</v>
      </c>
    </row>
    <row r="31" spans="1:13" ht="45" customHeight="1" x14ac:dyDescent="0.2">
      <c r="A31" s="112" t="s">
        <v>879</v>
      </c>
      <c r="B31" s="113" t="s">
        <v>880</v>
      </c>
      <c r="C31" s="114" t="s">
        <v>643</v>
      </c>
      <c r="D31" s="114"/>
      <c r="E31" s="114"/>
      <c r="F31" s="115"/>
      <c r="G31" s="115"/>
      <c r="H31" s="115"/>
      <c r="I31" s="116">
        <v>2.5</v>
      </c>
      <c r="J31" s="114"/>
      <c r="K31" s="111" t="s">
        <v>15</v>
      </c>
      <c r="L31" s="114" t="s">
        <v>644</v>
      </c>
      <c r="M31" s="113" t="s">
        <v>881</v>
      </c>
    </row>
    <row r="32" spans="1:13" ht="45" customHeight="1" x14ac:dyDescent="0.2">
      <c r="A32" s="106" t="s">
        <v>882</v>
      </c>
      <c r="B32" s="107" t="s">
        <v>883</v>
      </c>
      <c r="C32" s="108" t="s">
        <v>643</v>
      </c>
      <c r="D32" s="108"/>
      <c r="E32" s="108"/>
      <c r="F32" s="109"/>
      <c r="G32" s="109"/>
      <c r="H32" s="109"/>
      <c r="I32" s="110">
        <v>1.5</v>
      </c>
      <c r="J32" s="108"/>
      <c r="K32" s="111" t="s">
        <v>15</v>
      </c>
      <c r="L32" s="108" t="s">
        <v>644</v>
      </c>
      <c r="M32" s="107" t="s">
        <v>884</v>
      </c>
    </row>
    <row r="33" spans="1:13" ht="45" customHeight="1" x14ac:dyDescent="0.2">
      <c r="A33" s="112" t="s">
        <v>885</v>
      </c>
      <c r="B33" s="113" t="s">
        <v>886</v>
      </c>
      <c r="C33" s="114" t="s">
        <v>643</v>
      </c>
      <c r="D33" s="114"/>
      <c r="E33" s="114"/>
      <c r="F33" s="115"/>
      <c r="G33" s="115"/>
      <c r="H33" s="115"/>
      <c r="I33" s="116">
        <v>1.7</v>
      </c>
      <c r="J33" s="114"/>
      <c r="K33" s="111" t="s">
        <v>15</v>
      </c>
      <c r="L33" s="114" t="s">
        <v>644</v>
      </c>
      <c r="M33" s="113" t="s">
        <v>887</v>
      </c>
    </row>
    <row r="34" spans="1:13" ht="5" customHeight="1" x14ac:dyDescent="0.2"/>
    <row r="35" spans="1:13" ht="40" customHeight="1" x14ac:dyDescent="0.2">
      <c r="A35" s="97" t="s">
        <v>103</v>
      </c>
      <c r="B35" s="98" t="s">
        <v>888</v>
      </c>
      <c r="C35" s="97" t="s">
        <v>640</v>
      </c>
      <c r="D35" s="97" t="s">
        <v>108</v>
      </c>
      <c r="E35" s="97" t="s">
        <v>16</v>
      </c>
      <c r="F35" s="99">
        <v>14</v>
      </c>
      <c r="G35" s="99">
        <v>22</v>
      </c>
      <c r="H35" s="99">
        <v>36</v>
      </c>
      <c r="I35" s="100">
        <v>23</v>
      </c>
      <c r="J35" s="97"/>
      <c r="K35" s="97" t="s">
        <v>15</v>
      </c>
      <c r="L35" s="97"/>
      <c r="M35" s="98" t="s">
        <v>889</v>
      </c>
    </row>
    <row r="36" spans="1:13" ht="45" customHeight="1" x14ac:dyDescent="0.2">
      <c r="A36" s="106" t="s">
        <v>104</v>
      </c>
      <c r="B36" s="107" t="s">
        <v>890</v>
      </c>
      <c r="C36" s="108" t="s">
        <v>643</v>
      </c>
      <c r="D36" s="108"/>
      <c r="E36" s="108"/>
      <c r="F36" s="109"/>
      <c r="G36" s="109"/>
      <c r="H36" s="109"/>
      <c r="I36" s="110">
        <v>2.5</v>
      </c>
      <c r="J36" s="108"/>
      <c r="K36" s="111" t="s">
        <v>15</v>
      </c>
      <c r="L36" s="108" t="s">
        <v>644</v>
      </c>
      <c r="M36" s="107" t="s">
        <v>891</v>
      </c>
    </row>
    <row r="37" spans="1:13" ht="45" customHeight="1" x14ac:dyDescent="0.2">
      <c r="A37" s="112" t="s">
        <v>105</v>
      </c>
      <c r="B37" s="113" t="s">
        <v>892</v>
      </c>
      <c r="C37" s="114" t="s">
        <v>643</v>
      </c>
      <c r="D37" s="114"/>
      <c r="E37" s="114"/>
      <c r="F37" s="115"/>
      <c r="G37" s="115"/>
      <c r="H37" s="115"/>
      <c r="I37" s="116">
        <v>2</v>
      </c>
      <c r="J37" s="114"/>
      <c r="K37" s="111" t="s">
        <v>15</v>
      </c>
      <c r="L37" s="114" t="s">
        <v>644</v>
      </c>
      <c r="M37" s="113" t="s">
        <v>893</v>
      </c>
    </row>
    <row r="38" spans="1:13" ht="45" customHeight="1" x14ac:dyDescent="0.2">
      <c r="A38" s="106" t="s">
        <v>106</v>
      </c>
      <c r="B38" s="107" t="s">
        <v>894</v>
      </c>
      <c r="C38" s="108" t="s">
        <v>643</v>
      </c>
      <c r="D38" s="108"/>
      <c r="E38" s="108"/>
      <c r="F38" s="109"/>
      <c r="G38" s="109"/>
      <c r="H38" s="109"/>
      <c r="I38" s="110">
        <v>2.5</v>
      </c>
      <c r="J38" s="108"/>
      <c r="K38" s="111" t="s">
        <v>15</v>
      </c>
      <c r="L38" s="108" t="s">
        <v>644</v>
      </c>
      <c r="M38" s="107" t="s">
        <v>895</v>
      </c>
    </row>
    <row r="39" spans="1:13" ht="45" customHeight="1" x14ac:dyDescent="0.2">
      <c r="A39" s="112" t="s">
        <v>107</v>
      </c>
      <c r="B39" s="113" t="s">
        <v>896</v>
      </c>
      <c r="C39" s="114" t="s">
        <v>643</v>
      </c>
      <c r="D39" s="114"/>
      <c r="E39" s="114"/>
      <c r="F39" s="115"/>
      <c r="G39" s="115"/>
      <c r="H39" s="115"/>
      <c r="I39" s="116">
        <v>3</v>
      </c>
      <c r="J39" s="114"/>
      <c r="K39" s="111" t="s">
        <v>15</v>
      </c>
      <c r="L39" s="114" t="s">
        <v>644</v>
      </c>
      <c r="M39" s="113" t="s">
        <v>897</v>
      </c>
    </row>
    <row r="40" spans="1:13" ht="45" customHeight="1" x14ac:dyDescent="0.2">
      <c r="A40" s="106" t="s">
        <v>898</v>
      </c>
      <c r="B40" s="107" t="s">
        <v>899</v>
      </c>
      <c r="C40" s="108" t="s">
        <v>643</v>
      </c>
      <c r="D40" s="108"/>
      <c r="E40" s="108"/>
      <c r="F40" s="109"/>
      <c r="G40" s="109"/>
      <c r="H40" s="109"/>
      <c r="I40" s="110">
        <v>2.5</v>
      </c>
      <c r="J40" s="108"/>
      <c r="K40" s="111" t="s">
        <v>15</v>
      </c>
      <c r="L40" s="108" t="s">
        <v>644</v>
      </c>
      <c r="M40" s="107" t="s">
        <v>900</v>
      </c>
    </row>
    <row r="41" spans="1:13" ht="45" customHeight="1" x14ac:dyDescent="0.2">
      <c r="A41" s="112" t="s">
        <v>901</v>
      </c>
      <c r="B41" s="113" t="s">
        <v>902</v>
      </c>
      <c r="C41" s="114" t="s">
        <v>643</v>
      </c>
      <c r="D41" s="114"/>
      <c r="E41" s="114"/>
      <c r="F41" s="115"/>
      <c r="G41" s="115"/>
      <c r="H41" s="115"/>
      <c r="I41" s="116">
        <v>2</v>
      </c>
      <c r="J41" s="114"/>
      <c r="K41" s="111" t="s">
        <v>15</v>
      </c>
      <c r="L41" s="114" t="s">
        <v>644</v>
      </c>
      <c r="M41" s="113" t="s">
        <v>903</v>
      </c>
    </row>
    <row r="42" spans="1:13" ht="45" customHeight="1" x14ac:dyDescent="0.2">
      <c r="A42" s="106" t="s">
        <v>904</v>
      </c>
      <c r="B42" s="107" t="s">
        <v>905</v>
      </c>
      <c r="C42" s="108" t="s">
        <v>643</v>
      </c>
      <c r="D42" s="108"/>
      <c r="E42" s="108"/>
      <c r="F42" s="109"/>
      <c r="G42" s="109"/>
      <c r="H42" s="109"/>
      <c r="I42" s="110">
        <v>3</v>
      </c>
      <c r="J42" s="108"/>
      <c r="K42" s="111" t="s">
        <v>15</v>
      </c>
      <c r="L42" s="108" t="s">
        <v>644</v>
      </c>
      <c r="M42" s="107" t="s">
        <v>906</v>
      </c>
    </row>
    <row r="43" spans="1:13" ht="45" customHeight="1" x14ac:dyDescent="0.2">
      <c r="A43" s="112" t="s">
        <v>907</v>
      </c>
      <c r="B43" s="113" t="s">
        <v>908</v>
      </c>
      <c r="C43" s="114" t="s">
        <v>643</v>
      </c>
      <c r="D43" s="114"/>
      <c r="E43" s="114"/>
      <c r="F43" s="115"/>
      <c r="G43" s="115"/>
      <c r="H43" s="115"/>
      <c r="I43" s="116">
        <v>2</v>
      </c>
      <c r="J43" s="114"/>
      <c r="K43" s="111" t="s">
        <v>15</v>
      </c>
      <c r="L43" s="114" t="s">
        <v>644</v>
      </c>
      <c r="M43" s="113" t="s">
        <v>909</v>
      </c>
    </row>
    <row r="44" spans="1:13" ht="45" customHeight="1" x14ac:dyDescent="0.2">
      <c r="A44" s="106" t="s">
        <v>910</v>
      </c>
      <c r="B44" s="107" t="s">
        <v>911</v>
      </c>
      <c r="C44" s="108" t="s">
        <v>643</v>
      </c>
      <c r="D44" s="108"/>
      <c r="E44" s="108"/>
      <c r="F44" s="109"/>
      <c r="G44" s="109"/>
      <c r="H44" s="109"/>
      <c r="I44" s="110">
        <v>3.5</v>
      </c>
      <c r="J44" s="108"/>
      <c r="K44" s="111" t="s">
        <v>15</v>
      </c>
      <c r="L44" s="108" t="s">
        <v>644</v>
      </c>
      <c r="M44" s="107" t="s">
        <v>912</v>
      </c>
    </row>
    <row r="45" spans="1:13" ht="5" customHeight="1" x14ac:dyDescent="0.2"/>
    <row r="46" spans="1:13" ht="40" customHeight="1" x14ac:dyDescent="0.2">
      <c r="A46" s="64" t="s">
        <v>913</v>
      </c>
      <c r="B46" s="65" t="s">
        <v>914</v>
      </c>
      <c r="C46" s="64" t="s">
        <v>718</v>
      </c>
      <c r="D46" s="64" t="s">
        <v>29</v>
      </c>
      <c r="E46" s="64" t="s">
        <v>16</v>
      </c>
      <c r="F46" s="80"/>
      <c r="G46" s="80"/>
      <c r="H46" s="80"/>
      <c r="I46" s="81">
        <v>8</v>
      </c>
      <c r="J46" s="64"/>
      <c r="K46" s="64"/>
      <c r="L46" s="64"/>
      <c r="M46" s="65" t="s">
        <v>915</v>
      </c>
    </row>
  </sheetData>
  <mergeCells count="2">
    <mergeCell ref="A1:M1"/>
    <mergeCell ref="A2:M2"/>
  </mergeCells>
  <dataValidations disablePrompts="1" count="1">
    <dataValidation type="list" showErrorMessage="1" errorTitle="Invalid Status" error="Choose: Not Started, In Progress, Complete, Blocked, or At Risk" sqref="J6 J7 J10 J11 J12 J15 J16 J19 J20 J21 J22 J25 J26 J27 J30 J31 J34 J35 J36 J39 J40 J41" xr:uid="{00000000-0002-0000-0300-000000000000}">
      <formula1>"Not Started,In Progress,Complete,Blocked,At Risk"</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BB93E-D5C8-FC46-A95C-DD20BAA01BB1}">
  <dimension ref="A1:M34"/>
  <sheetViews>
    <sheetView topLeftCell="A13" workbookViewId="0">
      <selection sqref="A1:XFD1048576"/>
    </sheetView>
  </sheetViews>
  <sheetFormatPr baseColWidth="10" defaultColWidth="8.83203125" defaultRowHeight="15" x14ac:dyDescent="0.2"/>
  <cols>
    <col min="1" max="1" width="14" customWidth="1"/>
    <col min="2" max="2" width="52" customWidth="1"/>
    <col min="3" max="5" width="13" customWidth="1"/>
    <col min="6" max="9" width="11" customWidth="1"/>
    <col min="10" max="10" width="12" customWidth="1"/>
    <col min="11" max="11" width="17" customWidth="1"/>
    <col min="12" max="12" width="10" customWidth="1"/>
    <col min="13" max="13" width="38" customWidth="1"/>
  </cols>
  <sheetData>
    <row r="1" spans="1:13" ht="50" customHeight="1" x14ac:dyDescent="0.2">
      <c r="A1" s="66" t="s">
        <v>916</v>
      </c>
      <c r="B1" s="3"/>
      <c r="C1" s="3"/>
      <c r="D1" s="3"/>
      <c r="E1" s="3"/>
      <c r="F1" s="3"/>
      <c r="G1" s="3"/>
      <c r="H1" s="3"/>
      <c r="I1" s="3"/>
      <c r="J1" s="3"/>
      <c r="K1" s="3"/>
      <c r="L1" s="3"/>
      <c r="M1" s="3"/>
    </row>
    <row r="2" spans="1:13" ht="22" customHeight="1" x14ac:dyDescent="0.2">
      <c r="A2" s="67" t="s">
        <v>917</v>
      </c>
      <c r="B2" s="3"/>
      <c r="C2" s="3"/>
      <c r="D2" s="3"/>
      <c r="E2" s="3"/>
      <c r="F2" s="3"/>
      <c r="G2" s="3"/>
      <c r="H2" s="3"/>
      <c r="I2" s="3"/>
      <c r="J2" s="3"/>
      <c r="K2" s="3"/>
      <c r="L2" s="3"/>
      <c r="M2" s="3"/>
    </row>
    <row r="3" spans="1:13" ht="6" customHeight="1" x14ac:dyDescent="0.2"/>
    <row r="4" spans="1:13" ht="34" x14ac:dyDescent="0.2">
      <c r="A4" s="56" t="s">
        <v>19</v>
      </c>
      <c r="B4" s="56" t="s">
        <v>636</v>
      </c>
      <c r="C4" s="56" t="s">
        <v>637</v>
      </c>
      <c r="D4" s="56" t="s">
        <v>31</v>
      </c>
      <c r="E4" s="56" t="s">
        <v>32</v>
      </c>
      <c r="F4" s="56" t="s">
        <v>33</v>
      </c>
      <c r="G4" s="56" t="s">
        <v>34</v>
      </c>
      <c r="H4" s="56" t="s">
        <v>35</v>
      </c>
      <c r="I4" s="56" t="s">
        <v>11</v>
      </c>
      <c r="J4" s="56" t="s">
        <v>36</v>
      </c>
      <c r="K4" s="56" t="s">
        <v>10</v>
      </c>
      <c r="L4" s="56" t="s">
        <v>638</v>
      </c>
      <c r="M4" s="56" t="s">
        <v>37</v>
      </c>
    </row>
    <row r="5" spans="1:13" ht="51" x14ac:dyDescent="0.2">
      <c r="A5" s="56" t="s">
        <v>918</v>
      </c>
      <c r="B5" s="57" t="s">
        <v>919</v>
      </c>
      <c r="C5" s="56" t="s">
        <v>640</v>
      </c>
      <c r="D5" s="56" t="s">
        <v>16</v>
      </c>
      <c r="E5" s="56" t="s">
        <v>920</v>
      </c>
      <c r="F5" s="68">
        <v>6</v>
      </c>
      <c r="G5" s="68">
        <v>10</v>
      </c>
      <c r="H5" s="68">
        <v>16</v>
      </c>
      <c r="I5" s="69">
        <v>10.3</v>
      </c>
      <c r="J5" s="56"/>
      <c r="K5" s="56" t="s">
        <v>15</v>
      </c>
      <c r="L5" s="56"/>
      <c r="M5" s="57" t="s">
        <v>921</v>
      </c>
    </row>
    <row r="6" spans="1:13" ht="51" x14ac:dyDescent="0.2">
      <c r="A6" s="73" t="s">
        <v>922</v>
      </c>
      <c r="B6" s="61" t="s">
        <v>923</v>
      </c>
      <c r="C6" s="60" t="s">
        <v>643</v>
      </c>
      <c r="D6" s="60"/>
      <c r="E6" s="60"/>
      <c r="F6" s="74"/>
      <c r="G6" s="74"/>
      <c r="H6" s="74"/>
      <c r="I6" s="75">
        <v>2</v>
      </c>
      <c r="J6" s="60"/>
      <c r="K6" s="76" t="s">
        <v>15</v>
      </c>
      <c r="L6" s="60" t="s">
        <v>644</v>
      </c>
      <c r="M6" s="61" t="s">
        <v>924</v>
      </c>
    </row>
    <row r="7" spans="1:13" ht="51" x14ac:dyDescent="0.2">
      <c r="A7" s="77" t="s">
        <v>925</v>
      </c>
      <c r="B7" s="63" t="s">
        <v>926</v>
      </c>
      <c r="C7" s="62" t="s">
        <v>643</v>
      </c>
      <c r="D7" s="62"/>
      <c r="E7" s="62"/>
      <c r="F7" s="78"/>
      <c r="G7" s="78"/>
      <c r="H7" s="78"/>
      <c r="I7" s="79">
        <v>1.5</v>
      </c>
      <c r="J7" s="62"/>
      <c r="K7" s="76" t="s">
        <v>15</v>
      </c>
      <c r="L7" s="62" t="s">
        <v>644</v>
      </c>
      <c r="M7" s="63" t="s">
        <v>927</v>
      </c>
    </row>
    <row r="8" spans="1:13" ht="51" x14ac:dyDescent="0.2">
      <c r="A8" s="73" t="s">
        <v>928</v>
      </c>
      <c r="B8" s="61" t="s">
        <v>929</v>
      </c>
      <c r="C8" s="60" t="s">
        <v>643</v>
      </c>
      <c r="D8" s="60"/>
      <c r="E8" s="60"/>
      <c r="F8" s="74"/>
      <c r="G8" s="74"/>
      <c r="H8" s="74"/>
      <c r="I8" s="75">
        <v>2</v>
      </c>
      <c r="J8" s="60"/>
      <c r="K8" s="76" t="s">
        <v>15</v>
      </c>
      <c r="L8" s="60" t="s">
        <v>644</v>
      </c>
      <c r="M8" s="61" t="s">
        <v>930</v>
      </c>
    </row>
    <row r="9" spans="1:13" ht="68" x14ac:dyDescent="0.2">
      <c r="A9" s="77" t="s">
        <v>931</v>
      </c>
      <c r="B9" s="63" t="s">
        <v>932</v>
      </c>
      <c r="C9" s="62" t="s">
        <v>643</v>
      </c>
      <c r="D9" s="62"/>
      <c r="E9" s="62"/>
      <c r="F9" s="78"/>
      <c r="G9" s="78"/>
      <c r="H9" s="78"/>
      <c r="I9" s="79">
        <v>2</v>
      </c>
      <c r="J9" s="62"/>
      <c r="K9" s="76" t="s">
        <v>15</v>
      </c>
      <c r="L9" s="62" t="s">
        <v>644</v>
      </c>
      <c r="M9" s="63" t="s">
        <v>933</v>
      </c>
    </row>
    <row r="10" spans="1:13" ht="51" x14ac:dyDescent="0.2">
      <c r="A10" s="73" t="s">
        <v>934</v>
      </c>
      <c r="B10" s="61" t="s">
        <v>935</v>
      </c>
      <c r="C10" s="60" t="s">
        <v>643</v>
      </c>
      <c r="D10" s="60"/>
      <c r="E10" s="60"/>
      <c r="F10" s="74"/>
      <c r="G10" s="74"/>
      <c r="H10" s="74"/>
      <c r="I10" s="75">
        <v>1</v>
      </c>
      <c r="J10" s="60"/>
      <c r="K10" s="76" t="s">
        <v>15</v>
      </c>
      <c r="L10" s="60" t="s">
        <v>644</v>
      </c>
      <c r="M10" s="61" t="s">
        <v>936</v>
      </c>
    </row>
    <row r="11" spans="1:13" ht="51" x14ac:dyDescent="0.2">
      <c r="A11" s="77" t="s">
        <v>937</v>
      </c>
      <c r="B11" s="63" t="s">
        <v>938</v>
      </c>
      <c r="C11" s="62" t="s">
        <v>643</v>
      </c>
      <c r="D11" s="62"/>
      <c r="E11" s="62"/>
      <c r="F11" s="78"/>
      <c r="G11" s="78"/>
      <c r="H11" s="78"/>
      <c r="I11" s="79">
        <v>1.8</v>
      </c>
      <c r="J11" s="62"/>
      <c r="K11" s="76" t="s">
        <v>15</v>
      </c>
      <c r="L11" s="62" t="s">
        <v>644</v>
      </c>
      <c r="M11" s="63" t="s">
        <v>939</v>
      </c>
    </row>
    <row r="12" spans="1:13" ht="5" customHeight="1" x14ac:dyDescent="0.2"/>
    <row r="13" spans="1:13" ht="51" x14ac:dyDescent="0.2">
      <c r="A13" s="56" t="s">
        <v>940</v>
      </c>
      <c r="B13" s="57" t="s">
        <v>941</v>
      </c>
      <c r="C13" s="56" t="s">
        <v>640</v>
      </c>
      <c r="D13" s="56" t="s">
        <v>920</v>
      </c>
      <c r="E13" s="56" t="s">
        <v>942</v>
      </c>
      <c r="F13" s="68">
        <v>6</v>
      </c>
      <c r="G13" s="68">
        <v>10</v>
      </c>
      <c r="H13" s="68">
        <v>16</v>
      </c>
      <c r="I13" s="69">
        <v>10.3</v>
      </c>
      <c r="J13" s="56"/>
      <c r="K13" s="56" t="s">
        <v>15</v>
      </c>
      <c r="L13" s="56"/>
      <c r="M13" s="57" t="s">
        <v>943</v>
      </c>
    </row>
    <row r="14" spans="1:13" ht="51" x14ac:dyDescent="0.2">
      <c r="A14" s="73" t="s">
        <v>944</v>
      </c>
      <c r="B14" s="61" t="s">
        <v>945</v>
      </c>
      <c r="C14" s="60" t="s">
        <v>643</v>
      </c>
      <c r="D14" s="60"/>
      <c r="E14" s="60"/>
      <c r="F14" s="74"/>
      <c r="G14" s="74"/>
      <c r="H14" s="74"/>
      <c r="I14" s="75">
        <v>3</v>
      </c>
      <c r="J14" s="60"/>
      <c r="K14" s="76" t="s">
        <v>15</v>
      </c>
      <c r="L14" s="60" t="s">
        <v>644</v>
      </c>
      <c r="M14" s="61" t="s">
        <v>946</v>
      </c>
    </row>
    <row r="15" spans="1:13" ht="68" x14ac:dyDescent="0.2">
      <c r="A15" s="77" t="s">
        <v>947</v>
      </c>
      <c r="B15" s="63" t="s">
        <v>948</v>
      </c>
      <c r="C15" s="62" t="s">
        <v>643</v>
      </c>
      <c r="D15" s="62"/>
      <c r="E15" s="62"/>
      <c r="F15" s="78"/>
      <c r="G15" s="78"/>
      <c r="H15" s="78"/>
      <c r="I15" s="79">
        <v>2</v>
      </c>
      <c r="J15" s="62"/>
      <c r="K15" s="76" t="s">
        <v>15</v>
      </c>
      <c r="L15" s="62" t="s">
        <v>644</v>
      </c>
      <c r="M15" s="63" t="s">
        <v>949</v>
      </c>
    </row>
    <row r="16" spans="1:13" ht="51" x14ac:dyDescent="0.2">
      <c r="A16" s="73" t="s">
        <v>950</v>
      </c>
      <c r="B16" s="61" t="s">
        <v>951</v>
      </c>
      <c r="C16" s="60" t="s">
        <v>643</v>
      </c>
      <c r="D16" s="60"/>
      <c r="E16" s="60"/>
      <c r="F16" s="74"/>
      <c r="G16" s="74"/>
      <c r="H16" s="74"/>
      <c r="I16" s="75">
        <v>2.5</v>
      </c>
      <c r="J16" s="60"/>
      <c r="K16" s="76" t="s">
        <v>15</v>
      </c>
      <c r="L16" s="60" t="s">
        <v>644</v>
      </c>
      <c r="M16" s="61" t="s">
        <v>952</v>
      </c>
    </row>
    <row r="17" spans="1:13" ht="68" x14ac:dyDescent="0.2">
      <c r="A17" s="77" t="s">
        <v>953</v>
      </c>
      <c r="B17" s="63" t="s">
        <v>954</v>
      </c>
      <c r="C17" s="62" t="s">
        <v>643</v>
      </c>
      <c r="D17" s="62"/>
      <c r="E17" s="62"/>
      <c r="F17" s="78"/>
      <c r="G17" s="78"/>
      <c r="H17" s="78"/>
      <c r="I17" s="79">
        <v>1</v>
      </c>
      <c r="J17" s="62"/>
      <c r="K17" s="76" t="s">
        <v>15</v>
      </c>
      <c r="L17" s="62" t="s">
        <v>644</v>
      </c>
      <c r="M17" s="63" t="s">
        <v>955</v>
      </c>
    </row>
    <row r="18" spans="1:13" ht="51" x14ac:dyDescent="0.2">
      <c r="A18" s="73" t="s">
        <v>956</v>
      </c>
      <c r="B18" s="61" t="s">
        <v>957</v>
      </c>
      <c r="C18" s="60" t="s">
        <v>643</v>
      </c>
      <c r="D18" s="60"/>
      <c r="E18" s="60"/>
      <c r="F18" s="74"/>
      <c r="G18" s="74"/>
      <c r="H18" s="74"/>
      <c r="I18" s="75">
        <v>1.8</v>
      </c>
      <c r="J18" s="60"/>
      <c r="K18" s="76" t="s">
        <v>15</v>
      </c>
      <c r="L18" s="60" t="s">
        <v>644</v>
      </c>
      <c r="M18" s="61" t="s">
        <v>958</v>
      </c>
    </row>
    <row r="19" spans="1:13" ht="5" customHeight="1" x14ac:dyDescent="0.2"/>
    <row r="20" spans="1:13" ht="51" x14ac:dyDescent="0.2">
      <c r="A20" s="56" t="s">
        <v>959</v>
      </c>
      <c r="B20" s="57" t="s">
        <v>960</v>
      </c>
      <c r="C20" s="56" t="s">
        <v>640</v>
      </c>
      <c r="D20" s="56" t="s">
        <v>942</v>
      </c>
      <c r="E20" s="56" t="s">
        <v>961</v>
      </c>
      <c r="F20" s="68">
        <v>6</v>
      </c>
      <c r="G20" s="68">
        <v>10</v>
      </c>
      <c r="H20" s="68">
        <v>16</v>
      </c>
      <c r="I20" s="69">
        <v>10.3</v>
      </c>
      <c r="J20" s="56"/>
      <c r="K20" s="56" t="s">
        <v>15</v>
      </c>
      <c r="L20" s="56"/>
      <c r="M20" s="57" t="s">
        <v>962</v>
      </c>
    </row>
    <row r="21" spans="1:13" ht="51" x14ac:dyDescent="0.2">
      <c r="A21" s="77" t="s">
        <v>963</v>
      </c>
      <c r="B21" s="63" t="s">
        <v>964</v>
      </c>
      <c r="C21" s="62" t="s">
        <v>643</v>
      </c>
      <c r="D21" s="62"/>
      <c r="E21" s="62"/>
      <c r="F21" s="78"/>
      <c r="G21" s="78"/>
      <c r="H21" s="78"/>
      <c r="I21" s="79">
        <v>2.5</v>
      </c>
      <c r="J21" s="62"/>
      <c r="K21" s="76" t="s">
        <v>15</v>
      </c>
      <c r="L21" s="62" t="s">
        <v>644</v>
      </c>
      <c r="M21" s="63" t="s">
        <v>965</v>
      </c>
    </row>
    <row r="22" spans="1:13" ht="51" x14ac:dyDescent="0.2">
      <c r="A22" s="73" t="s">
        <v>966</v>
      </c>
      <c r="B22" s="61" t="s">
        <v>967</v>
      </c>
      <c r="C22" s="60" t="s">
        <v>643</v>
      </c>
      <c r="D22" s="60"/>
      <c r="E22" s="60"/>
      <c r="F22" s="74"/>
      <c r="G22" s="74"/>
      <c r="H22" s="74"/>
      <c r="I22" s="75">
        <v>2</v>
      </c>
      <c r="J22" s="60"/>
      <c r="K22" s="76" t="s">
        <v>15</v>
      </c>
      <c r="L22" s="60" t="s">
        <v>644</v>
      </c>
      <c r="M22" s="61" t="s">
        <v>968</v>
      </c>
    </row>
    <row r="23" spans="1:13" ht="51" x14ac:dyDescent="0.2">
      <c r="A23" s="77" t="s">
        <v>969</v>
      </c>
      <c r="B23" s="63" t="s">
        <v>807</v>
      </c>
      <c r="C23" s="62" t="s">
        <v>643</v>
      </c>
      <c r="D23" s="62"/>
      <c r="E23" s="62"/>
      <c r="F23" s="78"/>
      <c r="G23" s="78"/>
      <c r="H23" s="78"/>
      <c r="I23" s="79">
        <v>2</v>
      </c>
      <c r="J23" s="62"/>
      <c r="K23" s="76" t="s">
        <v>15</v>
      </c>
      <c r="L23" s="62" t="s">
        <v>644</v>
      </c>
      <c r="M23" s="63" t="s">
        <v>970</v>
      </c>
    </row>
    <row r="24" spans="1:13" ht="51" x14ac:dyDescent="0.2">
      <c r="A24" s="73" t="s">
        <v>971</v>
      </c>
      <c r="B24" s="61" t="s">
        <v>972</v>
      </c>
      <c r="C24" s="60" t="s">
        <v>643</v>
      </c>
      <c r="D24" s="60"/>
      <c r="E24" s="60"/>
      <c r="F24" s="74"/>
      <c r="G24" s="74"/>
      <c r="H24" s="74"/>
      <c r="I24" s="75">
        <v>1</v>
      </c>
      <c r="J24" s="60"/>
      <c r="K24" s="76" t="s">
        <v>15</v>
      </c>
      <c r="L24" s="60" t="s">
        <v>644</v>
      </c>
      <c r="M24" s="61" t="s">
        <v>973</v>
      </c>
    </row>
    <row r="25" spans="1:13" ht="51" x14ac:dyDescent="0.2">
      <c r="A25" s="77" t="s">
        <v>974</v>
      </c>
      <c r="B25" s="63" t="s">
        <v>975</v>
      </c>
      <c r="C25" s="62" t="s">
        <v>643</v>
      </c>
      <c r="D25" s="62"/>
      <c r="E25" s="62"/>
      <c r="F25" s="78"/>
      <c r="G25" s="78"/>
      <c r="H25" s="78"/>
      <c r="I25" s="79">
        <v>2.8</v>
      </c>
      <c r="J25" s="62"/>
      <c r="K25" s="76" t="s">
        <v>15</v>
      </c>
      <c r="L25" s="62" t="s">
        <v>644</v>
      </c>
      <c r="M25" s="63" t="s">
        <v>976</v>
      </c>
    </row>
    <row r="26" spans="1:13" ht="5" customHeight="1" x14ac:dyDescent="0.2"/>
    <row r="27" spans="1:13" ht="51" x14ac:dyDescent="0.2">
      <c r="A27" s="82" t="s">
        <v>977</v>
      </c>
      <c r="B27" s="83" t="s">
        <v>978</v>
      </c>
      <c r="C27" s="82" t="s">
        <v>979</v>
      </c>
      <c r="D27" s="82" t="s">
        <v>942</v>
      </c>
      <c r="E27" s="82" t="s">
        <v>961</v>
      </c>
      <c r="F27" s="84"/>
      <c r="G27" s="84"/>
      <c r="H27" s="84"/>
      <c r="I27" s="85">
        <v>15</v>
      </c>
      <c r="J27" s="82"/>
      <c r="K27" s="82" t="s">
        <v>15</v>
      </c>
      <c r="L27" s="82"/>
      <c r="M27" s="83" t="s">
        <v>980</v>
      </c>
    </row>
    <row r="28" spans="1:13" ht="51" x14ac:dyDescent="0.2">
      <c r="A28" s="73" t="s">
        <v>981</v>
      </c>
      <c r="B28" s="61" t="s">
        <v>982</v>
      </c>
      <c r="C28" s="60" t="s">
        <v>643</v>
      </c>
      <c r="D28" s="60"/>
      <c r="E28" s="60"/>
      <c r="F28" s="74"/>
      <c r="G28" s="74"/>
      <c r="H28" s="74"/>
      <c r="I28" s="75">
        <v>4</v>
      </c>
      <c r="J28" s="60"/>
      <c r="K28" s="76" t="s">
        <v>15</v>
      </c>
      <c r="L28" s="60" t="s">
        <v>644</v>
      </c>
      <c r="M28" s="61" t="s">
        <v>983</v>
      </c>
    </row>
    <row r="29" spans="1:13" ht="51" x14ac:dyDescent="0.2">
      <c r="A29" s="77" t="s">
        <v>984</v>
      </c>
      <c r="B29" s="63" t="s">
        <v>985</v>
      </c>
      <c r="C29" s="62" t="s">
        <v>643</v>
      </c>
      <c r="D29" s="62"/>
      <c r="E29" s="62"/>
      <c r="F29" s="78"/>
      <c r="G29" s="78"/>
      <c r="H29" s="78"/>
      <c r="I29" s="79">
        <v>3.5</v>
      </c>
      <c r="J29" s="62"/>
      <c r="K29" s="76" t="s">
        <v>15</v>
      </c>
      <c r="L29" s="62" t="s">
        <v>644</v>
      </c>
      <c r="M29" s="63" t="s">
        <v>986</v>
      </c>
    </row>
    <row r="30" spans="1:13" ht="51" x14ac:dyDescent="0.2">
      <c r="A30" s="73" t="s">
        <v>987</v>
      </c>
      <c r="B30" s="61" t="s">
        <v>988</v>
      </c>
      <c r="C30" s="60" t="s">
        <v>643</v>
      </c>
      <c r="D30" s="60"/>
      <c r="E30" s="60"/>
      <c r="F30" s="74"/>
      <c r="G30" s="74"/>
      <c r="H30" s="74"/>
      <c r="I30" s="75">
        <v>3.5</v>
      </c>
      <c r="J30" s="60"/>
      <c r="K30" s="76" t="s">
        <v>15</v>
      </c>
      <c r="L30" s="60" t="s">
        <v>644</v>
      </c>
      <c r="M30" s="61" t="s">
        <v>989</v>
      </c>
    </row>
    <row r="31" spans="1:13" ht="51" x14ac:dyDescent="0.2">
      <c r="A31" s="77" t="s">
        <v>990</v>
      </c>
      <c r="B31" s="63" t="s">
        <v>991</v>
      </c>
      <c r="C31" s="62" t="s">
        <v>643</v>
      </c>
      <c r="D31" s="62"/>
      <c r="E31" s="62"/>
      <c r="F31" s="78"/>
      <c r="G31" s="78"/>
      <c r="H31" s="78"/>
      <c r="I31" s="79">
        <v>2.5</v>
      </c>
      <c r="J31" s="62"/>
      <c r="K31" s="76" t="s">
        <v>15</v>
      </c>
      <c r="L31" s="62" t="s">
        <v>644</v>
      </c>
      <c r="M31" s="63" t="s">
        <v>992</v>
      </c>
    </row>
    <row r="32" spans="1:13" ht="51" x14ac:dyDescent="0.2">
      <c r="A32" s="73" t="s">
        <v>993</v>
      </c>
      <c r="B32" s="61" t="s">
        <v>994</v>
      </c>
      <c r="C32" s="60" t="s">
        <v>643</v>
      </c>
      <c r="D32" s="60"/>
      <c r="E32" s="60"/>
      <c r="F32" s="74"/>
      <c r="G32" s="74"/>
      <c r="H32" s="74"/>
      <c r="I32" s="75">
        <v>1.5</v>
      </c>
      <c r="J32" s="60"/>
      <c r="K32" s="76" t="s">
        <v>15</v>
      </c>
      <c r="L32" s="60" t="s">
        <v>644</v>
      </c>
      <c r="M32" s="61" t="s">
        <v>995</v>
      </c>
    </row>
    <row r="33" spans="1:13" ht="5" customHeight="1" x14ac:dyDescent="0.2"/>
    <row r="34" spans="1:13" ht="68" x14ac:dyDescent="0.2">
      <c r="A34" s="64" t="s">
        <v>996</v>
      </c>
      <c r="B34" s="65" t="s">
        <v>997</v>
      </c>
      <c r="C34" s="64" t="s">
        <v>718</v>
      </c>
      <c r="D34" s="64" t="s">
        <v>16</v>
      </c>
      <c r="E34" s="64" t="s">
        <v>961</v>
      </c>
      <c r="F34" s="80"/>
      <c r="G34" s="80"/>
      <c r="H34" s="80"/>
      <c r="I34" s="81">
        <v>3</v>
      </c>
      <c r="J34" s="64"/>
      <c r="K34" s="64"/>
      <c r="L34" s="64"/>
      <c r="M34" s="65" t="s">
        <v>998</v>
      </c>
    </row>
  </sheetData>
  <mergeCells count="2">
    <mergeCell ref="A1:M1"/>
    <mergeCell ref="A2:M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5"/>
  <sheetViews>
    <sheetView showGridLines="0" workbookViewId="0">
      <pane ySplit="3" topLeftCell="A33" activePane="bottomLeft" state="frozen"/>
      <selection pane="bottomLeft" sqref="A1:XFD1048576"/>
    </sheetView>
  </sheetViews>
  <sheetFormatPr baseColWidth="10" defaultColWidth="8.83203125" defaultRowHeight="15" x14ac:dyDescent="0.2"/>
  <cols>
    <col min="1" max="1" width="14" customWidth="1"/>
    <col min="2" max="2" width="52" customWidth="1"/>
    <col min="3" max="5" width="13" customWidth="1"/>
    <col min="6" max="9" width="11" customWidth="1"/>
    <col min="10" max="10" width="12" customWidth="1"/>
    <col min="11" max="11" width="17" customWidth="1"/>
    <col min="12" max="12" width="10" customWidth="1"/>
    <col min="13" max="13" width="38" customWidth="1"/>
  </cols>
  <sheetData>
    <row r="1" spans="1:13" ht="50" customHeight="1" x14ac:dyDescent="0.2">
      <c r="A1" s="66" t="s">
        <v>109</v>
      </c>
      <c r="B1" s="3"/>
      <c r="C1" s="3"/>
      <c r="D1" s="3"/>
      <c r="E1" s="3"/>
      <c r="F1" s="3"/>
      <c r="G1" s="3"/>
      <c r="H1" s="3"/>
      <c r="I1" s="3"/>
      <c r="J1" s="3"/>
      <c r="K1" s="3"/>
      <c r="L1" s="3"/>
      <c r="M1" s="3"/>
    </row>
    <row r="2" spans="1:13" ht="22" customHeight="1" x14ac:dyDescent="0.2">
      <c r="A2" s="67" t="s">
        <v>110</v>
      </c>
      <c r="B2" s="3"/>
      <c r="C2" s="3"/>
      <c r="D2" s="3"/>
      <c r="E2" s="3"/>
      <c r="F2" s="3"/>
      <c r="G2" s="3"/>
      <c r="H2" s="3"/>
      <c r="I2" s="3"/>
      <c r="J2" s="3"/>
      <c r="K2" s="3"/>
      <c r="L2" s="3"/>
      <c r="M2" s="3"/>
    </row>
    <row r="3" spans="1:13" ht="6" customHeight="1" x14ac:dyDescent="0.2"/>
    <row r="4" spans="1:13" ht="50" customHeight="1" x14ac:dyDescent="0.2">
      <c r="A4" s="56" t="s">
        <v>19</v>
      </c>
      <c r="B4" s="56" t="s">
        <v>636</v>
      </c>
      <c r="C4" s="56" t="s">
        <v>637</v>
      </c>
      <c r="D4" s="56" t="s">
        <v>31</v>
      </c>
      <c r="E4" s="56" t="s">
        <v>32</v>
      </c>
      <c r="F4" s="56" t="s">
        <v>33</v>
      </c>
      <c r="G4" s="56" t="s">
        <v>34</v>
      </c>
      <c r="H4" s="56" t="s">
        <v>35</v>
      </c>
      <c r="I4" s="56" t="s">
        <v>11</v>
      </c>
      <c r="J4" s="56" t="s">
        <v>36</v>
      </c>
      <c r="K4" s="56" t="s">
        <v>10</v>
      </c>
      <c r="L4" s="56" t="s">
        <v>638</v>
      </c>
      <c r="M4" s="56" t="s">
        <v>37</v>
      </c>
    </row>
    <row r="5" spans="1:13" ht="40" customHeight="1" x14ac:dyDescent="0.2">
      <c r="A5" s="56" t="s">
        <v>25</v>
      </c>
      <c r="B5" s="57" t="s">
        <v>26</v>
      </c>
      <c r="C5" s="56" t="s">
        <v>640</v>
      </c>
      <c r="D5" s="56" t="s">
        <v>27</v>
      </c>
      <c r="E5" s="56" t="s">
        <v>12</v>
      </c>
      <c r="F5" s="68">
        <v>20</v>
      </c>
      <c r="G5" s="68">
        <v>41</v>
      </c>
      <c r="H5" s="68">
        <v>82</v>
      </c>
      <c r="I5" s="69">
        <v>44.33</v>
      </c>
      <c r="J5" s="56"/>
      <c r="K5" s="56" t="s">
        <v>13</v>
      </c>
      <c r="L5" s="56"/>
      <c r="M5" s="57" t="s">
        <v>111</v>
      </c>
    </row>
    <row r="6" spans="1:13" ht="45" customHeight="1" x14ac:dyDescent="0.2">
      <c r="A6" s="70" t="s">
        <v>112</v>
      </c>
      <c r="B6" s="59" t="s">
        <v>999</v>
      </c>
      <c r="C6" s="58" t="s">
        <v>643</v>
      </c>
      <c r="D6" s="58"/>
      <c r="E6" s="58"/>
      <c r="F6" s="71"/>
      <c r="G6" s="71"/>
      <c r="H6" s="71"/>
      <c r="I6" s="72">
        <v>8.67</v>
      </c>
      <c r="J6" s="58"/>
      <c r="K6" s="70" t="s">
        <v>13</v>
      </c>
      <c r="L6" s="58" t="s">
        <v>644</v>
      </c>
      <c r="M6" s="59"/>
    </row>
    <row r="7" spans="1:13" ht="45" customHeight="1" x14ac:dyDescent="0.2">
      <c r="A7" s="77" t="s">
        <v>113</v>
      </c>
      <c r="B7" s="63" t="s">
        <v>1000</v>
      </c>
      <c r="C7" s="62" t="s">
        <v>643</v>
      </c>
      <c r="D7" s="62"/>
      <c r="E7" s="62"/>
      <c r="F7" s="78"/>
      <c r="G7" s="78"/>
      <c r="H7" s="78"/>
      <c r="I7" s="79">
        <v>12.67</v>
      </c>
      <c r="J7" s="62"/>
      <c r="K7" s="76" t="s">
        <v>15</v>
      </c>
      <c r="L7" s="62" t="s">
        <v>644</v>
      </c>
      <c r="M7" s="63"/>
    </row>
    <row r="8" spans="1:13" ht="45" customHeight="1" x14ac:dyDescent="0.2">
      <c r="A8" s="73" t="s">
        <v>114</v>
      </c>
      <c r="B8" s="61" t="s">
        <v>1001</v>
      </c>
      <c r="C8" s="60" t="s">
        <v>643</v>
      </c>
      <c r="D8" s="60"/>
      <c r="E8" s="60"/>
      <c r="F8" s="74"/>
      <c r="G8" s="74"/>
      <c r="H8" s="74"/>
      <c r="I8" s="75">
        <v>10.83</v>
      </c>
      <c r="J8" s="60"/>
      <c r="K8" s="76" t="s">
        <v>15</v>
      </c>
      <c r="L8" s="60" t="s">
        <v>644</v>
      </c>
      <c r="M8" s="61"/>
    </row>
    <row r="9" spans="1:13" ht="45" customHeight="1" x14ac:dyDescent="0.2">
      <c r="A9" s="77" t="s">
        <v>115</v>
      </c>
      <c r="B9" s="63" t="s">
        <v>1002</v>
      </c>
      <c r="C9" s="62" t="s">
        <v>643</v>
      </c>
      <c r="D9" s="62"/>
      <c r="E9" s="62"/>
      <c r="F9" s="78"/>
      <c r="G9" s="78"/>
      <c r="H9" s="78"/>
      <c r="I9" s="79">
        <v>9</v>
      </c>
      <c r="J9" s="62"/>
      <c r="K9" s="76" t="s">
        <v>15</v>
      </c>
      <c r="L9" s="62" t="s">
        <v>644</v>
      </c>
      <c r="M9" s="63"/>
    </row>
    <row r="10" spans="1:13" ht="45" customHeight="1" x14ac:dyDescent="0.2">
      <c r="A10" s="73" t="s">
        <v>116</v>
      </c>
      <c r="B10" s="61" t="s">
        <v>1003</v>
      </c>
      <c r="C10" s="60" t="s">
        <v>643</v>
      </c>
      <c r="D10" s="60"/>
      <c r="E10" s="60"/>
      <c r="F10" s="74"/>
      <c r="G10" s="74"/>
      <c r="H10" s="74"/>
      <c r="I10" s="75">
        <v>3.17</v>
      </c>
      <c r="J10" s="60"/>
      <c r="K10" s="76" t="s">
        <v>15</v>
      </c>
      <c r="L10" s="60" t="s">
        <v>644</v>
      </c>
      <c r="M10" s="61"/>
    </row>
    <row r="11" spans="1:13" ht="5" customHeight="1" x14ac:dyDescent="0.2"/>
    <row r="12" spans="1:13" ht="40" customHeight="1" x14ac:dyDescent="0.2">
      <c r="A12" s="56" t="s">
        <v>117</v>
      </c>
      <c r="B12" s="57" t="s">
        <v>118</v>
      </c>
      <c r="C12" s="56" t="s">
        <v>640</v>
      </c>
      <c r="D12" s="56" t="s">
        <v>24</v>
      </c>
      <c r="E12" s="56" t="s">
        <v>71</v>
      </c>
      <c r="F12" s="68">
        <v>4</v>
      </c>
      <c r="G12" s="68">
        <v>8.5</v>
      </c>
      <c r="H12" s="68">
        <v>21</v>
      </c>
      <c r="I12" s="69">
        <v>9.83</v>
      </c>
      <c r="J12" s="56"/>
      <c r="K12" s="56" t="s">
        <v>15</v>
      </c>
      <c r="L12" s="56"/>
      <c r="M12" s="57" t="s">
        <v>1004</v>
      </c>
    </row>
    <row r="13" spans="1:13" ht="45" customHeight="1" x14ac:dyDescent="0.2">
      <c r="A13" s="77" t="s">
        <v>119</v>
      </c>
      <c r="B13" s="63" t="s">
        <v>120</v>
      </c>
      <c r="C13" s="62" t="s">
        <v>643</v>
      </c>
      <c r="D13" s="62"/>
      <c r="E13" s="62"/>
      <c r="F13" s="78"/>
      <c r="G13" s="78"/>
      <c r="H13" s="78"/>
      <c r="I13" s="79">
        <v>2.33</v>
      </c>
      <c r="J13" s="62"/>
      <c r="K13" s="76" t="s">
        <v>15</v>
      </c>
      <c r="L13" s="62" t="s">
        <v>644</v>
      </c>
      <c r="M13" s="63"/>
    </row>
    <row r="14" spans="1:13" ht="45" customHeight="1" x14ac:dyDescent="0.2">
      <c r="A14" s="73" t="s">
        <v>121</v>
      </c>
      <c r="B14" s="61" t="s">
        <v>1005</v>
      </c>
      <c r="C14" s="60" t="s">
        <v>643</v>
      </c>
      <c r="D14" s="60"/>
      <c r="E14" s="60"/>
      <c r="F14" s="74"/>
      <c r="G14" s="74"/>
      <c r="H14" s="74"/>
      <c r="I14" s="75">
        <v>2.33</v>
      </c>
      <c r="J14" s="60"/>
      <c r="K14" s="76" t="s">
        <v>15</v>
      </c>
      <c r="L14" s="60" t="s">
        <v>644</v>
      </c>
      <c r="M14" s="61"/>
    </row>
    <row r="15" spans="1:13" ht="45" customHeight="1" x14ac:dyDescent="0.2">
      <c r="A15" s="77" t="s">
        <v>122</v>
      </c>
      <c r="B15" s="63" t="s">
        <v>123</v>
      </c>
      <c r="C15" s="62" t="s">
        <v>643</v>
      </c>
      <c r="D15" s="62"/>
      <c r="E15" s="62"/>
      <c r="F15" s="78"/>
      <c r="G15" s="78"/>
      <c r="H15" s="78"/>
      <c r="I15" s="79">
        <v>1.25</v>
      </c>
      <c r="J15" s="62"/>
      <c r="K15" s="76" t="s">
        <v>15</v>
      </c>
      <c r="L15" s="62" t="s">
        <v>644</v>
      </c>
      <c r="M15" s="63"/>
    </row>
    <row r="16" spans="1:13" ht="45" customHeight="1" x14ac:dyDescent="0.2">
      <c r="A16" s="73" t="s">
        <v>124</v>
      </c>
      <c r="B16" s="61" t="s">
        <v>125</v>
      </c>
      <c r="C16" s="60" t="s">
        <v>643</v>
      </c>
      <c r="D16" s="60"/>
      <c r="E16" s="60"/>
      <c r="F16" s="74"/>
      <c r="G16" s="74"/>
      <c r="H16" s="74"/>
      <c r="I16" s="75">
        <v>1.75</v>
      </c>
      <c r="J16" s="60"/>
      <c r="K16" s="76" t="s">
        <v>15</v>
      </c>
      <c r="L16" s="60" t="s">
        <v>644</v>
      </c>
      <c r="M16" s="61"/>
    </row>
    <row r="17" spans="1:13" ht="45" customHeight="1" x14ac:dyDescent="0.2">
      <c r="A17" s="77" t="s">
        <v>126</v>
      </c>
      <c r="B17" s="63" t="s">
        <v>1006</v>
      </c>
      <c r="C17" s="62" t="s">
        <v>643</v>
      </c>
      <c r="D17" s="62"/>
      <c r="E17" s="62"/>
      <c r="F17" s="78"/>
      <c r="G17" s="78"/>
      <c r="H17" s="78"/>
      <c r="I17" s="79">
        <v>2.17</v>
      </c>
      <c r="J17" s="62"/>
      <c r="K17" s="76" t="s">
        <v>15</v>
      </c>
      <c r="L17" s="62" t="s">
        <v>644</v>
      </c>
      <c r="M17" s="63"/>
    </row>
    <row r="18" spans="1:13" ht="5" customHeight="1" x14ac:dyDescent="0.2"/>
    <row r="19" spans="1:13" ht="40" customHeight="1" x14ac:dyDescent="0.2">
      <c r="A19" s="56" t="s">
        <v>127</v>
      </c>
      <c r="B19" s="57" t="s">
        <v>128</v>
      </c>
      <c r="C19" s="56" t="s">
        <v>640</v>
      </c>
      <c r="D19" s="56" t="s">
        <v>28</v>
      </c>
      <c r="E19" s="56" t="s">
        <v>84</v>
      </c>
      <c r="F19" s="68">
        <v>3</v>
      </c>
      <c r="G19" s="68">
        <v>6.5</v>
      </c>
      <c r="H19" s="68">
        <v>18</v>
      </c>
      <c r="I19" s="69">
        <v>7.83</v>
      </c>
      <c r="J19" s="56"/>
      <c r="K19" s="56" t="s">
        <v>15</v>
      </c>
      <c r="L19" s="56"/>
      <c r="M19" s="57" t="s">
        <v>1007</v>
      </c>
    </row>
    <row r="20" spans="1:13" ht="45" customHeight="1" x14ac:dyDescent="0.2">
      <c r="A20" s="73" t="s">
        <v>129</v>
      </c>
      <c r="B20" s="61" t="s">
        <v>1008</v>
      </c>
      <c r="C20" s="60" t="s">
        <v>643</v>
      </c>
      <c r="D20" s="60"/>
      <c r="E20" s="60"/>
      <c r="F20" s="74"/>
      <c r="G20" s="74"/>
      <c r="H20" s="74"/>
      <c r="I20" s="75">
        <v>1.25</v>
      </c>
      <c r="J20" s="60"/>
      <c r="K20" s="76" t="s">
        <v>15</v>
      </c>
      <c r="L20" s="60" t="s">
        <v>644</v>
      </c>
      <c r="M20" s="61"/>
    </row>
    <row r="21" spans="1:13" ht="45" customHeight="1" x14ac:dyDescent="0.2">
      <c r="A21" s="77" t="s">
        <v>130</v>
      </c>
      <c r="B21" s="63" t="s">
        <v>1009</v>
      </c>
      <c r="C21" s="62" t="s">
        <v>643</v>
      </c>
      <c r="D21" s="62"/>
      <c r="E21" s="62"/>
      <c r="F21" s="78"/>
      <c r="G21" s="78"/>
      <c r="H21" s="78"/>
      <c r="I21" s="79">
        <v>1.75</v>
      </c>
      <c r="J21" s="62"/>
      <c r="K21" s="76" t="s">
        <v>15</v>
      </c>
      <c r="L21" s="62" t="s">
        <v>644</v>
      </c>
      <c r="M21" s="63"/>
    </row>
    <row r="22" spans="1:13" ht="45" customHeight="1" x14ac:dyDescent="0.2">
      <c r="A22" s="73" t="s">
        <v>131</v>
      </c>
      <c r="B22" s="61" t="s">
        <v>1010</v>
      </c>
      <c r="C22" s="60" t="s">
        <v>643</v>
      </c>
      <c r="D22" s="60"/>
      <c r="E22" s="60"/>
      <c r="F22" s="74"/>
      <c r="G22" s="74"/>
      <c r="H22" s="74"/>
      <c r="I22" s="75">
        <v>1.25</v>
      </c>
      <c r="J22" s="60"/>
      <c r="K22" s="76" t="s">
        <v>15</v>
      </c>
      <c r="L22" s="60" t="s">
        <v>644</v>
      </c>
      <c r="M22" s="61"/>
    </row>
    <row r="23" spans="1:13" ht="45" customHeight="1" x14ac:dyDescent="0.2">
      <c r="A23" s="77" t="s">
        <v>132</v>
      </c>
      <c r="B23" s="63" t="s">
        <v>1011</v>
      </c>
      <c r="C23" s="62" t="s">
        <v>643</v>
      </c>
      <c r="D23" s="62"/>
      <c r="E23" s="62"/>
      <c r="F23" s="78"/>
      <c r="G23" s="78"/>
      <c r="H23" s="78"/>
      <c r="I23" s="79">
        <v>1.25</v>
      </c>
      <c r="J23" s="62"/>
      <c r="K23" s="76" t="s">
        <v>15</v>
      </c>
      <c r="L23" s="62" t="s">
        <v>644</v>
      </c>
      <c r="M23" s="63"/>
    </row>
    <row r="24" spans="1:13" ht="45" customHeight="1" x14ac:dyDescent="0.2">
      <c r="A24" s="73" t="s">
        <v>133</v>
      </c>
      <c r="B24" s="61" t="s">
        <v>134</v>
      </c>
      <c r="C24" s="60" t="s">
        <v>643</v>
      </c>
      <c r="D24" s="60"/>
      <c r="E24" s="60"/>
      <c r="F24" s="74"/>
      <c r="G24" s="74"/>
      <c r="H24" s="74"/>
      <c r="I24" s="75">
        <v>2.33</v>
      </c>
      <c r="J24" s="60"/>
      <c r="K24" s="76" t="s">
        <v>15</v>
      </c>
      <c r="L24" s="60" t="s">
        <v>644</v>
      </c>
      <c r="M24" s="61"/>
    </row>
    <row r="25" spans="1:13" ht="5" customHeight="1" x14ac:dyDescent="0.2"/>
    <row r="26" spans="1:13" ht="40" customHeight="1" x14ac:dyDescent="0.2">
      <c r="A26" s="56" t="s">
        <v>135</v>
      </c>
      <c r="B26" s="57" t="s">
        <v>136</v>
      </c>
      <c r="C26" s="56" t="s">
        <v>640</v>
      </c>
      <c r="D26" s="56" t="s">
        <v>77</v>
      </c>
      <c r="E26" s="56" t="s">
        <v>89</v>
      </c>
      <c r="F26" s="68">
        <v>6</v>
      </c>
      <c r="G26" s="68">
        <v>12</v>
      </c>
      <c r="H26" s="68">
        <v>26</v>
      </c>
      <c r="I26" s="69">
        <v>13.33</v>
      </c>
      <c r="J26" s="56"/>
      <c r="K26" s="56" t="s">
        <v>15</v>
      </c>
      <c r="L26" s="56"/>
      <c r="M26" s="57" t="s">
        <v>1012</v>
      </c>
    </row>
    <row r="27" spans="1:13" ht="45" customHeight="1" x14ac:dyDescent="0.2">
      <c r="A27" s="77" t="s">
        <v>137</v>
      </c>
      <c r="B27" s="63" t="s">
        <v>1013</v>
      </c>
      <c r="C27" s="62" t="s">
        <v>643</v>
      </c>
      <c r="D27" s="62"/>
      <c r="E27" s="62"/>
      <c r="F27" s="78"/>
      <c r="G27" s="78"/>
      <c r="H27" s="78"/>
      <c r="I27" s="79">
        <v>2.33</v>
      </c>
      <c r="J27" s="62"/>
      <c r="K27" s="76" t="s">
        <v>15</v>
      </c>
      <c r="L27" s="62" t="s">
        <v>644</v>
      </c>
      <c r="M27" s="63"/>
    </row>
    <row r="28" spans="1:13" ht="45" customHeight="1" x14ac:dyDescent="0.2">
      <c r="A28" s="73" t="s">
        <v>138</v>
      </c>
      <c r="B28" s="61" t="s">
        <v>1014</v>
      </c>
      <c r="C28" s="60" t="s">
        <v>643</v>
      </c>
      <c r="D28" s="60"/>
      <c r="E28" s="60"/>
      <c r="F28" s="74"/>
      <c r="G28" s="74"/>
      <c r="H28" s="74"/>
      <c r="I28" s="75">
        <v>2.17</v>
      </c>
      <c r="J28" s="60"/>
      <c r="K28" s="76" t="s">
        <v>15</v>
      </c>
      <c r="L28" s="60" t="s">
        <v>644</v>
      </c>
      <c r="M28" s="61"/>
    </row>
    <row r="29" spans="1:13" ht="45" customHeight="1" x14ac:dyDescent="0.2">
      <c r="A29" s="77" t="s">
        <v>139</v>
      </c>
      <c r="B29" s="63" t="s">
        <v>1015</v>
      </c>
      <c r="C29" s="62" t="s">
        <v>643</v>
      </c>
      <c r="D29" s="62"/>
      <c r="E29" s="62"/>
      <c r="F29" s="78"/>
      <c r="G29" s="78"/>
      <c r="H29" s="78"/>
      <c r="I29" s="79">
        <v>2.17</v>
      </c>
      <c r="J29" s="62"/>
      <c r="K29" s="76" t="s">
        <v>15</v>
      </c>
      <c r="L29" s="62" t="s">
        <v>644</v>
      </c>
      <c r="M29" s="63"/>
    </row>
    <row r="30" spans="1:13" ht="45" customHeight="1" x14ac:dyDescent="0.2">
      <c r="A30" s="73" t="s">
        <v>140</v>
      </c>
      <c r="B30" s="61" t="s">
        <v>1016</v>
      </c>
      <c r="C30" s="60" t="s">
        <v>643</v>
      </c>
      <c r="D30" s="60"/>
      <c r="E30" s="60"/>
      <c r="F30" s="74"/>
      <c r="G30" s="74"/>
      <c r="H30" s="74"/>
      <c r="I30" s="75">
        <v>4.5</v>
      </c>
      <c r="J30" s="60"/>
      <c r="K30" s="76" t="s">
        <v>15</v>
      </c>
      <c r="L30" s="60" t="s">
        <v>644</v>
      </c>
      <c r="M30" s="61"/>
    </row>
    <row r="31" spans="1:13" ht="45" customHeight="1" x14ac:dyDescent="0.2">
      <c r="A31" s="77" t="s">
        <v>141</v>
      </c>
      <c r="B31" s="63" t="s">
        <v>1017</v>
      </c>
      <c r="C31" s="62" t="s">
        <v>643</v>
      </c>
      <c r="D31" s="62"/>
      <c r="E31" s="62"/>
      <c r="F31" s="78"/>
      <c r="G31" s="78"/>
      <c r="H31" s="78"/>
      <c r="I31" s="79">
        <v>2.17</v>
      </c>
      <c r="J31" s="62"/>
      <c r="K31" s="76" t="s">
        <v>15</v>
      </c>
      <c r="L31" s="62" t="s">
        <v>644</v>
      </c>
      <c r="M31" s="63"/>
    </row>
    <row r="32" spans="1:13" ht="5" customHeight="1" x14ac:dyDescent="0.2"/>
    <row r="33" spans="1:13" ht="40" customHeight="1" x14ac:dyDescent="0.2">
      <c r="A33" s="56" t="s">
        <v>142</v>
      </c>
      <c r="B33" s="57" t="s">
        <v>30</v>
      </c>
      <c r="C33" s="56" t="s">
        <v>640</v>
      </c>
      <c r="D33" s="56" t="s">
        <v>88</v>
      </c>
      <c r="E33" s="56" t="s">
        <v>92</v>
      </c>
      <c r="F33" s="68">
        <v>6.5</v>
      </c>
      <c r="G33" s="68">
        <v>13</v>
      </c>
      <c r="H33" s="68">
        <v>30</v>
      </c>
      <c r="I33" s="69">
        <v>14.75</v>
      </c>
      <c r="J33" s="56"/>
      <c r="K33" s="56" t="s">
        <v>15</v>
      </c>
      <c r="L33" s="56"/>
      <c r="M33" s="57" t="s">
        <v>1018</v>
      </c>
    </row>
    <row r="34" spans="1:13" ht="45" customHeight="1" x14ac:dyDescent="0.2">
      <c r="A34" s="73" t="s">
        <v>143</v>
      </c>
      <c r="B34" s="61" t="s">
        <v>1019</v>
      </c>
      <c r="C34" s="60" t="s">
        <v>643</v>
      </c>
      <c r="D34" s="60"/>
      <c r="E34" s="60"/>
      <c r="F34" s="74"/>
      <c r="G34" s="74"/>
      <c r="H34" s="74"/>
      <c r="I34" s="75">
        <v>2.33</v>
      </c>
      <c r="J34" s="60"/>
      <c r="K34" s="76" t="s">
        <v>15</v>
      </c>
      <c r="L34" s="60" t="s">
        <v>644</v>
      </c>
      <c r="M34" s="61"/>
    </row>
    <row r="35" spans="1:13" ht="45" customHeight="1" x14ac:dyDescent="0.2">
      <c r="A35" s="77" t="s">
        <v>144</v>
      </c>
      <c r="B35" s="63" t="s">
        <v>1020</v>
      </c>
      <c r="C35" s="62" t="s">
        <v>643</v>
      </c>
      <c r="D35" s="62"/>
      <c r="E35" s="62"/>
      <c r="F35" s="78"/>
      <c r="G35" s="78"/>
      <c r="H35" s="78"/>
      <c r="I35" s="79">
        <v>4.5</v>
      </c>
      <c r="J35" s="62"/>
      <c r="K35" s="76" t="s">
        <v>15</v>
      </c>
      <c r="L35" s="62" t="s">
        <v>644</v>
      </c>
      <c r="M35" s="63"/>
    </row>
    <row r="36" spans="1:13" ht="45" customHeight="1" x14ac:dyDescent="0.2">
      <c r="A36" s="73" t="s">
        <v>145</v>
      </c>
      <c r="B36" s="61" t="s">
        <v>1021</v>
      </c>
      <c r="C36" s="60" t="s">
        <v>643</v>
      </c>
      <c r="D36" s="60"/>
      <c r="E36" s="60"/>
      <c r="F36" s="74"/>
      <c r="G36" s="74"/>
      <c r="H36" s="74"/>
      <c r="I36" s="75">
        <v>2.33</v>
      </c>
      <c r="J36" s="60"/>
      <c r="K36" s="76" t="s">
        <v>15</v>
      </c>
      <c r="L36" s="60" t="s">
        <v>644</v>
      </c>
      <c r="M36" s="61"/>
    </row>
    <row r="37" spans="1:13" ht="45" customHeight="1" x14ac:dyDescent="0.2">
      <c r="A37" s="77" t="s">
        <v>146</v>
      </c>
      <c r="B37" s="63" t="s">
        <v>1022</v>
      </c>
      <c r="C37" s="62" t="s">
        <v>643</v>
      </c>
      <c r="D37" s="62"/>
      <c r="E37" s="62"/>
      <c r="F37" s="78"/>
      <c r="G37" s="78"/>
      <c r="H37" s="78"/>
      <c r="I37" s="79">
        <v>1.25</v>
      </c>
      <c r="J37" s="62"/>
      <c r="K37" s="76" t="s">
        <v>15</v>
      </c>
      <c r="L37" s="62" t="s">
        <v>644</v>
      </c>
      <c r="M37" s="63"/>
    </row>
    <row r="38" spans="1:13" ht="45" customHeight="1" x14ac:dyDescent="0.2">
      <c r="A38" s="73" t="s">
        <v>147</v>
      </c>
      <c r="B38" s="61" t="s">
        <v>1023</v>
      </c>
      <c r="C38" s="60" t="s">
        <v>643</v>
      </c>
      <c r="D38" s="60"/>
      <c r="E38" s="60"/>
      <c r="F38" s="74"/>
      <c r="G38" s="74"/>
      <c r="H38" s="74"/>
      <c r="I38" s="75">
        <v>4.33</v>
      </c>
      <c r="J38" s="60"/>
      <c r="K38" s="76" t="s">
        <v>15</v>
      </c>
      <c r="L38" s="60" t="s">
        <v>644</v>
      </c>
      <c r="M38" s="61"/>
    </row>
    <row r="39" spans="1:13" ht="5" customHeight="1" x14ac:dyDescent="0.2"/>
    <row r="40" spans="1:13" ht="40" customHeight="1" x14ac:dyDescent="0.2">
      <c r="A40" s="56" t="s">
        <v>148</v>
      </c>
      <c r="B40" s="57" t="s">
        <v>149</v>
      </c>
      <c r="C40" s="56" t="s">
        <v>640</v>
      </c>
      <c r="D40" s="56" t="s">
        <v>90</v>
      </c>
      <c r="E40" s="56" t="s">
        <v>16</v>
      </c>
      <c r="F40" s="68">
        <v>3.5</v>
      </c>
      <c r="G40" s="68">
        <v>8.5</v>
      </c>
      <c r="H40" s="68">
        <v>19</v>
      </c>
      <c r="I40" s="69">
        <v>9.42</v>
      </c>
      <c r="J40" s="56"/>
      <c r="K40" s="56" t="s">
        <v>15</v>
      </c>
      <c r="L40" s="56"/>
      <c r="M40" s="57" t="s">
        <v>1024</v>
      </c>
    </row>
    <row r="41" spans="1:13" ht="45" customHeight="1" x14ac:dyDescent="0.2">
      <c r="A41" s="77" t="s">
        <v>150</v>
      </c>
      <c r="B41" s="63" t="s">
        <v>1025</v>
      </c>
      <c r="C41" s="62" t="s">
        <v>643</v>
      </c>
      <c r="D41" s="62"/>
      <c r="E41" s="62"/>
      <c r="F41" s="78"/>
      <c r="G41" s="78"/>
      <c r="H41" s="78"/>
      <c r="I41" s="79">
        <v>1.08</v>
      </c>
      <c r="J41" s="62"/>
      <c r="K41" s="76" t="s">
        <v>15</v>
      </c>
      <c r="L41" s="62" t="s">
        <v>644</v>
      </c>
      <c r="M41" s="63"/>
    </row>
    <row r="42" spans="1:13" ht="45" customHeight="1" x14ac:dyDescent="0.2">
      <c r="A42" s="73" t="s">
        <v>151</v>
      </c>
      <c r="B42" s="61" t="s">
        <v>1026</v>
      </c>
      <c r="C42" s="60" t="s">
        <v>643</v>
      </c>
      <c r="D42" s="60"/>
      <c r="E42" s="60"/>
      <c r="F42" s="74"/>
      <c r="G42" s="74"/>
      <c r="H42" s="74"/>
      <c r="I42" s="75">
        <v>1.08</v>
      </c>
      <c r="J42" s="60"/>
      <c r="K42" s="76" t="s">
        <v>15</v>
      </c>
      <c r="L42" s="60" t="s">
        <v>644</v>
      </c>
      <c r="M42" s="61"/>
    </row>
    <row r="43" spans="1:13" ht="45" customHeight="1" x14ac:dyDescent="0.2">
      <c r="A43" s="77" t="s">
        <v>152</v>
      </c>
      <c r="B43" s="63" t="s">
        <v>1027</v>
      </c>
      <c r="C43" s="62" t="s">
        <v>643</v>
      </c>
      <c r="D43" s="62"/>
      <c r="E43" s="62"/>
      <c r="F43" s="78"/>
      <c r="G43" s="78"/>
      <c r="H43" s="78"/>
      <c r="I43" s="79">
        <v>3.33</v>
      </c>
      <c r="J43" s="62"/>
      <c r="K43" s="76" t="s">
        <v>15</v>
      </c>
      <c r="L43" s="62" t="s">
        <v>644</v>
      </c>
      <c r="M43" s="63"/>
    </row>
    <row r="44" spans="1:13" ht="45" customHeight="1" x14ac:dyDescent="0.2">
      <c r="A44" s="73" t="s">
        <v>153</v>
      </c>
      <c r="B44" s="61" t="s">
        <v>1028</v>
      </c>
      <c r="C44" s="60" t="s">
        <v>643</v>
      </c>
      <c r="D44" s="60"/>
      <c r="E44" s="60"/>
      <c r="F44" s="74"/>
      <c r="G44" s="74"/>
      <c r="H44" s="74"/>
      <c r="I44" s="75">
        <v>2.17</v>
      </c>
      <c r="J44" s="60"/>
      <c r="K44" s="76" t="s">
        <v>15</v>
      </c>
      <c r="L44" s="60" t="s">
        <v>644</v>
      </c>
      <c r="M44" s="61"/>
    </row>
    <row r="45" spans="1:13" ht="45" customHeight="1" x14ac:dyDescent="0.2">
      <c r="A45" s="77" t="s">
        <v>154</v>
      </c>
      <c r="B45" s="63" t="s">
        <v>1029</v>
      </c>
      <c r="C45" s="62" t="s">
        <v>643</v>
      </c>
      <c r="D45" s="62"/>
      <c r="E45" s="62"/>
      <c r="F45" s="78"/>
      <c r="G45" s="78"/>
      <c r="H45" s="78"/>
      <c r="I45" s="79">
        <v>1.75</v>
      </c>
      <c r="J45" s="62"/>
      <c r="K45" s="76" t="s">
        <v>15</v>
      </c>
      <c r="L45" s="62" t="s">
        <v>644</v>
      </c>
      <c r="M45" s="63"/>
    </row>
  </sheetData>
  <mergeCells count="2">
    <mergeCell ref="A1:M1"/>
    <mergeCell ref="A2:M2"/>
  </mergeCells>
  <dataValidations count="1">
    <dataValidation type="list" showErrorMessage="1" errorTitle="Invalid Status" error="Choose: Not Started, In Progress, Complete, Blocked, or At Risk" sqref="J5 J6 J7 J8 J9 J11 J12 J13 J14 J15 J17 J18 J19 J20 J21 J23 J24 J25 J26 J27 J29 J30 J31 J32 J33 J35 J36 J37 J38 J39" xr:uid="{00000000-0002-0000-0400-000000000000}">
      <formula1>"Not Started,In Progress,Complete,Blocked,At Risk"</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2"/>
  <sheetViews>
    <sheetView showGridLines="0" workbookViewId="0">
      <pane xSplit="1" ySplit="4" topLeftCell="B27" activePane="bottomRight" state="frozen"/>
      <selection pane="topRight"/>
      <selection pane="bottomLeft"/>
      <selection pane="bottomRight" activeCell="C90" sqref="C90"/>
    </sheetView>
  </sheetViews>
  <sheetFormatPr baseColWidth="10" defaultColWidth="8.83203125" defaultRowHeight="15" x14ac:dyDescent="0.2"/>
  <cols>
    <col min="1" max="1" width="5" customWidth="1"/>
    <col min="2" max="2" width="56" customWidth="1"/>
    <col min="3" max="3" width="22" customWidth="1"/>
    <col min="4" max="4" width="6" customWidth="1"/>
    <col min="5" max="5" width="24" customWidth="1"/>
    <col min="6" max="6" width="26" customWidth="1"/>
    <col min="7" max="7" width="38" customWidth="1"/>
    <col min="8" max="8" width="14" customWidth="1"/>
    <col min="9" max="9" width="50" customWidth="1"/>
    <col min="10" max="10" width="40" customWidth="1"/>
    <col min="11" max="11" width="62" customWidth="1"/>
  </cols>
  <sheetData>
    <row r="1" spans="1:11" ht="58" customHeight="1" x14ac:dyDescent="0.2">
      <c r="A1" s="2" t="s">
        <v>156</v>
      </c>
      <c r="B1" s="3"/>
      <c r="C1" s="3"/>
      <c r="D1" s="3"/>
      <c r="E1" s="3"/>
      <c r="F1" s="3"/>
      <c r="G1" s="3"/>
      <c r="H1" s="3"/>
      <c r="I1" s="3"/>
      <c r="J1" s="3"/>
      <c r="K1" s="3"/>
    </row>
    <row r="2" spans="1:11" ht="22" customHeight="1" x14ac:dyDescent="0.2">
      <c r="A2" s="4" t="s">
        <v>157</v>
      </c>
      <c r="B2" s="3"/>
      <c r="C2" s="3"/>
      <c r="D2" s="3"/>
      <c r="E2" s="3"/>
      <c r="F2" s="3"/>
      <c r="G2" s="3"/>
      <c r="H2" s="3"/>
      <c r="I2" s="3"/>
      <c r="J2" s="3"/>
      <c r="K2" s="3"/>
    </row>
    <row r="3" spans="1:11" ht="8" customHeight="1" x14ac:dyDescent="0.2">
      <c r="A3" s="1"/>
      <c r="B3" s="1"/>
      <c r="C3" s="1"/>
      <c r="D3" s="1"/>
      <c r="E3" s="1"/>
      <c r="F3" s="1"/>
      <c r="G3" s="1"/>
      <c r="H3" s="1"/>
      <c r="I3" s="1"/>
      <c r="J3" s="1"/>
      <c r="K3" s="1"/>
    </row>
    <row r="4" spans="1:11" ht="28" customHeight="1" x14ac:dyDescent="0.2">
      <c r="A4" s="45" t="s">
        <v>158</v>
      </c>
      <c r="B4" s="45" t="s">
        <v>159</v>
      </c>
      <c r="C4" s="45" t="s">
        <v>160</v>
      </c>
      <c r="D4" s="45" t="s">
        <v>161</v>
      </c>
      <c r="E4" s="45" t="s">
        <v>162</v>
      </c>
      <c r="F4" s="45" t="s">
        <v>155</v>
      </c>
      <c r="G4" s="45" t="s">
        <v>163</v>
      </c>
      <c r="H4" s="45" t="s">
        <v>164</v>
      </c>
      <c r="I4" s="45" t="s">
        <v>165</v>
      </c>
      <c r="J4" s="45" t="s">
        <v>166</v>
      </c>
      <c r="K4" s="45" t="s">
        <v>167</v>
      </c>
    </row>
    <row r="5" spans="1:11" ht="60" customHeight="1" x14ac:dyDescent="0.2">
      <c r="A5" s="46">
        <v>1</v>
      </c>
      <c r="B5" s="47" t="s">
        <v>168</v>
      </c>
      <c r="C5" s="47" t="s">
        <v>169</v>
      </c>
      <c r="D5" s="48" t="s">
        <v>170</v>
      </c>
      <c r="E5" s="47" t="s">
        <v>171</v>
      </c>
      <c r="F5" s="47" t="s">
        <v>172</v>
      </c>
      <c r="G5" s="47" t="s">
        <v>173</v>
      </c>
      <c r="H5" s="46" t="s">
        <v>174</v>
      </c>
      <c r="I5" s="47" t="s">
        <v>175</v>
      </c>
      <c r="J5" s="49" t="s">
        <v>176</v>
      </c>
      <c r="K5" s="50" t="s">
        <v>177</v>
      </c>
    </row>
    <row r="6" spans="1:11" ht="60" customHeight="1" x14ac:dyDescent="0.2">
      <c r="A6" s="51">
        <v>2</v>
      </c>
      <c r="B6" s="52" t="s">
        <v>178</v>
      </c>
      <c r="C6" s="52" t="s">
        <v>179</v>
      </c>
      <c r="D6" s="53" t="s">
        <v>180</v>
      </c>
      <c r="E6" s="52" t="s">
        <v>181</v>
      </c>
      <c r="F6" s="52" t="s">
        <v>172</v>
      </c>
      <c r="G6" s="52" t="s">
        <v>182</v>
      </c>
      <c r="H6" s="46" t="s">
        <v>174</v>
      </c>
      <c r="I6" s="52" t="s">
        <v>183</v>
      </c>
      <c r="J6" s="54" t="s">
        <v>184</v>
      </c>
      <c r="K6" s="55" t="s">
        <v>177</v>
      </c>
    </row>
    <row r="7" spans="1:11" ht="60" customHeight="1" x14ac:dyDescent="0.2">
      <c r="A7" s="46">
        <v>3</v>
      </c>
      <c r="B7" s="47" t="s">
        <v>185</v>
      </c>
      <c r="C7" s="47" t="s">
        <v>186</v>
      </c>
      <c r="D7" s="48" t="s">
        <v>187</v>
      </c>
      <c r="E7" s="47" t="s">
        <v>171</v>
      </c>
      <c r="F7" s="47" t="s">
        <v>172</v>
      </c>
      <c r="G7" s="47" t="s">
        <v>188</v>
      </c>
      <c r="H7" s="46" t="s">
        <v>174</v>
      </c>
      <c r="I7" s="47" t="s">
        <v>189</v>
      </c>
      <c r="J7" s="49" t="s">
        <v>190</v>
      </c>
      <c r="K7" s="50" t="s">
        <v>177</v>
      </c>
    </row>
    <row r="8" spans="1:11" ht="60" customHeight="1" x14ac:dyDescent="0.2">
      <c r="A8" s="51">
        <v>4</v>
      </c>
      <c r="B8" s="52" t="s">
        <v>191</v>
      </c>
      <c r="C8" s="52" t="s">
        <v>192</v>
      </c>
      <c r="D8" s="53" t="s">
        <v>193</v>
      </c>
      <c r="E8" s="52" t="s">
        <v>171</v>
      </c>
      <c r="F8" s="52" t="s">
        <v>172</v>
      </c>
      <c r="G8" s="52" t="s">
        <v>194</v>
      </c>
      <c r="H8" s="46" t="s">
        <v>174</v>
      </c>
      <c r="I8" s="52" t="s">
        <v>195</v>
      </c>
      <c r="J8" s="54" t="s">
        <v>196</v>
      </c>
      <c r="K8" s="55" t="s">
        <v>177</v>
      </c>
    </row>
    <row r="9" spans="1:11" ht="60" customHeight="1" x14ac:dyDescent="0.2">
      <c r="A9" s="46">
        <v>5</v>
      </c>
      <c r="B9" s="47" t="s">
        <v>197</v>
      </c>
      <c r="C9" s="47" t="s">
        <v>198</v>
      </c>
      <c r="D9" s="48" t="s">
        <v>170</v>
      </c>
      <c r="E9" s="47" t="s">
        <v>171</v>
      </c>
      <c r="F9" s="47" t="s">
        <v>199</v>
      </c>
      <c r="G9" s="47" t="s">
        <v>200</v>
      </c>
      <c r="H9" s="46" t="s">
        <v>174</v>
      </c>
      <c r="I9" s="47" t="s">
        <v>201</v>
      </c>
      <c r="J9" s="49" t="s">
        <v>202</v>
      </c>
      <c r="K9" s="50" t="s">
        <v>177</v>
      </c>
    </row>
    <row r="10" spans="1:11" ht="60" customHeight="1" x14ac:dyDescent="0.2">
      <c r="A10" s="51">
        <v>6</v>
      </c>
      <c r="B10" s="52" t="s">
        <v>203</v>
      </c>
      <c r="C10" s="52" t="s">
        <v>204</v>
      </c>
      <c r="D10" s="53" t="s">
        <v>187</v>
      </c>
      <c r="E10" s="52" t="s">
        <v>171</v>
      </c>
      <c r="F10" s="52" t="s">
        <v>199</v>
      </c>
      <c r="G10" s="52" t="s">
        <v>205</v>
      </c>
      <c r="H10" s="46" t="s">
        <v>174</v>
      </c>
      <c r="I10" s="52" t="s">
        <v>206</v>
      </c>
      <c r="J10" s="54" t="s">
        <v>207</v>
      </c>
      <c r="K10" s="55" t="s">
        <v>177</v>
      </c>
    </row>
    <row r="11" spans="1:11" ht="60" customHeight="1" x14ac:dyDescent="0.2">
      <c r="A11" s="46">
        <v>7</v>
      </c>
      <c r="B11" s="47" t="s">
        <v>208</v>
      </c>
      <c r="C11" s="47" t="s">
        <v>209</v>
      </c>
      <c r="D11" s="48" t="s">
        <v>187</v>
      </c>
      <c r="E11" s="47" t="s">
        <v>171</v>
      </c>
      <c r="F11" s="47" t="s">
        <v>199</v>
      </c>
      <c r="G11" s="47" t="s">
        <v>210</v>
      </c>
      <c r="H11" s="46" t="s">
        <v>174</v>
      </c>
      <c r="I11" s="47" t="s">
        <v>211</v>
      </c>
      <c r="J11" s="49" t="s">
        <v>212</v>
      </c>
      <c r="K11" s="50" t="s">
        <v>177</v>
      </c>
    </row>
    <row r="12" spans="1:11" ht="60" customHeight="1" x14ac:dyDescent="0.2">
      <c r="A12" s="51">
        <v>8</v>
      </c>
      <c r="B12" s="52" t="s">
        <v>213</v>
      </c>
      <c r="C12" s="52" t="s">
        <v>214</v>
      </c>
      <c r="D12" s="53" t="s">
        <v>187</v>
      </c>
      <c r="E12" s="52" t="s">
        <v>171</v>
      </c>
      <c r="F12" s="52" t="s">
        <v>199</v>
      </c>
      <c r="G12" s="52" t="s">
        <v>215</v>
      </c>
      <c r="H12" s="46" t="s">
        <v>174</v>
      </c>
      <c r="I12" s="52" t="s">
        <v>216</v>
      </c>
      <c r="J12" s="54" t="s">
        <v>217</v>
      </c>
      <c r="K12" s="55" t="s">
        <v>177</v>
      </c>
    </row>
    <row r="13" spans="1:11" ht="60" customHeight="1" x14ac:dyDescent="0.2">
      <c r="A13" s="46">
        <v>9</v>
      </c>
      <c r="B13" s="47" t="s">
        <v>218</v>
      </c>
      <c r="C13" s="47" t="s">
        <v>219</v>
      </c>
      <c r="D13" s="48" t="s">
        <v>220</v>
      </c>
      <c r="E13" s="47" t="s">
        <v>221</v>
      </c>
      <c r="F13" s="47" t="s">
        <v>199</v>
      </c>
      <c r="G13" s="47" t="s">
        <v>222</v>
      </c>
      <c r="H13" s="46" t="s">
        <v>174</v>
      </c>
      <c r="I13" s="47" t="s">
        <v>223</v>
      </c>
      <c r="J13" s="49" t="s">
        <v>224</v>
      </c>
      <c r="K13" s="50" t="s">
        <v>177</v>
      </c>
    </row>
    <row r="14" spans="1:11" ht="60" customHeight="1" x14ac:dyDescent="0.2">
      <c r="A14" s="51">
        <v>10</v>
      </c>
      <c r="B14" s="52" t="s">
        <v>225</v>
      </c>
      <c r="C14" s="52" t="s">
        <v>226</v>
      </c>
      <c r="D14" s="53" t="s">
        <v>220</v>
      </c>
      <c r="E14" s="52" t="s">
        <v>171</v>
      </c>
      <c r="F14" s="52" t="s">
        <v>199</v>
      </c>
      <c r="G14" s="52" t="s">
        <v>227</v>
      </c>
      <c r="H14" s="46" t="s">
        <v>174</v>
      </c>
      <c r="I14" s="52" t="s">
        <v>228</v>
      </c>
      <c r="J14" s="54" t="s">
        <v>229</v>
      </c>
      <c r="K14" s="55" t="s">
        <v>177</v>
      </c>
    </row>
    <row r="15" spans="1:11" ht="60" customHeight="1" x14ac:dyDescent="0.2">
      <c r="A15" s="46">
        <v>11</v>
      </c>
      <c r="B15" s="47" t="s">
        <v>230</v>
      </c>
      <c r="C15" s="47" t="s">
        <v>231</v>
      </c>
      <c r="D15" s="48" t="s">
        <v>170</v>
      </c>
      <c r="E15" s="47" t="s">
        <v>171</v>
      </c>
      <c r="F15" s="47" t="s">
        <v>232</v>
      </c>
      <c r="G15" s="47" t="s">
        <v>233</v>
      </c>
      <c r="H15" s="46" t="s">
        <v>174</v>
      </c>
      <c r="I15" s="47" t="s">
        <v>234</v>
      </c>
      <c r="J15" s="49" t="s">
        <v>235</v>
      </c>
      <c r="K15" s="50" t="s">
        <v>177</v>
      </c>
    </row>
    <row r="16" spans="1:11" ht="60" customHeight="1" x14ac:dyDescent="0.2">
      <c r="A16" s="51">
        <v>12</v>
      </c>
      <c r="B16" s="52" t="s">
        <v>236</v>
      </c>
      <c r="C16" s="52" t="s">
        <v>237</v>
      </c>
      <c r="D16" s="53" t="s">
        <v>187</v>
      </c>
      <c r="E16" s="52" t="s">
        <v>171</v>
      </c>
      <c r="F16" s="52" t="s">
        <v>232</v>
      </c>
      <c r="G16" s="52" t="s">
        <v>238</v>
      </c>
      <c r="H16" s="46" t="s">
        <v>174</v>
      </c>
      <c r="I16" s="52" t="s">
        <v>239</v>
      </c>
      <c r="J16" s="54" t="s">
        <v>240</v>
      </c>
      <c r="K16" s="55" t="s">
        <v>177</v>
      </c>
    </row>
    <row r="17" spans="1:11" ht="60" customHeight="1" x14ac:dyDescent="0.2">
      <c r="A17" s="46">
        <v>13</v>
      </c>
      <c r="B17" s="47" t="s">
        <v>241</v>
      </c>
      <c r="C17" s="47" t="s">
        <v>242</v>
      </c>
      <c r="D17" s="48" t="s">
        <v>193</v>
      </c>
      <c r="E17" s="47" t="s">
        <v>243</v>
      </c>
      <c r="F17" s="47" t="s">
        <v>232</v>
      </c>
      <c r="G17" s="47" t="s">
        <v>244</v>
      </c>
      <c r="H17" s="46" t="s">
        <v>174</v>
      </c>
      <c r="I17" s="47" t="s">
        <v>245</v>
      </c>
      <c r="J17" s="49" t="s">
        <v>246</v>
      </c>
      <c r="K17" s="50" t="s">
        <v>177</v>
      </c>
    </row>
    <row r="18" spans="1:11" ht="60" customHeight="1" x14ac:dyDescent="0.2">
      <c r="A18" s="51">
        <v>14</v>
      </c>
      <c r="B18" s="52" t="s">
        <v>247</v>
      </c>
      <c r="C18" s="52" t="s">
        <v>248</v>
      </c>
      <c r="D18" s="53" t="s">
        <v>180</v>
      </c>
      <c r="E18" s="52" t="s">
        <v>171</v>
      </c>
      <c r="F18" s="52" t="s">
        <v>232</v>
      </c>
      <c r="G18" s="52" t="s">
        <v>249</v>
      </c>
      <c r="H18" s="46" t="s">
        <v>174</v>
      </c>
      <c r="I18" s="52" t="s">
        <v>250</v>
      </c>
      <c r="J18" s="54" t="s">
        <v>251</v>
      </c>
      <c r="K18" s="55" t="s">
        <v>177</v>
      </c>
    </row>
    <row r="19" spans="1:11" ht="60" customHeight="1" x14ac:dyDescent="0.2">
      <c r="A19" s="46">
        <v>15</v>
      </c>
      <c r="B19" s="47" t="s">
        <v>252</v>
      </c>
      <c r="C19" s="47" t="s">
        <v>253</v>
      </c>
      <c r="D19" s="48" t="s">
        <v>193</v>
      </c>
      <c r="E19" s="47" t="s">
        <v>171</v>
      </c>
      <c r="F19" s="47" t="s">
        <v>232</v>
      </c>
      <c r="G19" s="47" t="s">
        <v>254</v>
      </c>
      <c r="H19" s="46" t="s">
        <v>174</v>
      </c>
      <c r="I19" s="47" t="s">
        <v>255</v>
      </c>
      <c r="J19" s="49" t="s">
        <v>256</v>
      </c>
      <c r="K19" s="50" t="s">
        <v>177</v>
      </c>
    </row>
    <row r="20" spans="1:11" ht="60" customHeight="1" x14ac:dyDescent="0.2">
      <c r="A20" s="51">
        <v>16</v>
      </c>
      <c r="B20" s="52" t="s">
        <v>257</v>
      </c>
      <c r="C20" s="52" t="s">
        <v>258</v>
      </c>
      <c r="D20" s="53" t="s">
        <v>180</v>
      </c>
      <c r="E20" s="52" t="s">
        <v>171</v>
      </c>
      <c r="F20" s="52" t="s">
        <v>232</v>
      </c>
      <c r="G20" s="52" t="s">
        <v>259</v>
      </c>
      <c r="H20" s="46" t="s">
        <v>174</v>
      </c>
      <c r="I20" s="52" t="s">
        <v>260</v>
      </c>
      <c r="J20" s="54" t="s">
        <v>261</v>
      </c>
      <c r="K20" s="55" t="s">
        <v>177</v>
      </c>
    </row>
    <row r="21" spans="1:11" ht="60" customHeight="1" x14ac:dyDescent="0.2">
      <c r="A21" s="46">
        <v>17</v>
      </c>
      <c r="B21" s="47" t="s">
        <v>262</v>
      </c>
      <c r="C21" s="47" t="s">
        <v>186</v>
      </c>
      <c r="D21" s="48" t="s">
        <v>187</v>
      </c>
      <c r="E21" s="47" t="s">
        <v>171</v>
      </c>
      <c r="F21" s="47" t="s">
        <v>263</v>
      </c>
      <c r="G21" s="47" t="s">
        <v>264</v>
      </c>
      <c r="H21" s="46" t="s">
        <v>174</v>
      </c>
      <c r="I21" s="47" t="s">
        <v>265</v>
      </c>
      <c r="J21" s="49" t="s">
        <v>266</v>
      </c>
      <c r="K21" s="50" t="s">
        <v>177</v>
      </c>
    </row>
    <row r="22" spans="1:11" ht="60" customHeight="1" x14ac:dyDescent="0.2">
      <c r="A22" s="51">
        <v>18</v>
      </c>
      <c r="B22" s="52" t="s">
        <v>267</v>
      </c>
      <c r="C22" s="52" t="s">
        <v>237</v>
      </c>
      <c r="D22" s="53" t="s">
        <v>187</v>
      </c>
      <c r="E22" s="52" t="s">
        <v>171</v>
      </c>
      <c r="F22" s="52" t="s">
        <v>263</v>
      </c>
      <c r="G22" s="52" t="s">
        <v>268</v>
      </c>
      <c r="H22" s="46" t="s">
        <v>174</v>
      </c>
      <c r="I22" s="52" t="s">
        <v>269</v>
      </c>
      <c r="J22" s="54" t="s">
        <v>270</v>
      </c>
      <c r="K22" s="55" t="s">
        <v>177</v>
      </c>
    </row>
    <row r="23" spans="1:11" ht="60" customHeight="1" x14ac:dyDescent="0.2">
      <c r="A23" s="46">
        <v>19</v>
      </c>
      <c r="B23" s="47" t="s">
        <v>271</v>
      </c>
      <c r="C23" s="47" t="s">
        <v>272</v>
      </c>
      <c r="D23" s="48" t="s">
        <v>193</v>
      </c>
      <c r="E23" s="47" t="s">
        <v>171</v>
      </c>
      <c r="F23" s="47" t="s">
        <v>263</v>
      </c>
      <c r="G23" s="47" t="s">
        <v>273</v>
      </c>
      <c r="H23" s="46" t="s">
        <v>174</v>
      </c>
      <c r="I23" s="47" t="s">
        <v>274</v>
      </c>
      <c r="J23" s="49" t="s">
        <v>275</v>
      </c>
      <c r="K23" s="50" t="s">
        <v>177</v>
      </c>
    </row>
    <row r="24" spans="1:11" ht="60" customHeight="1" x14ac:dyDescent="0.2">
      <c r="A24" s="51">
        <v>20</v>
      </c>
      <c r="B24" s="52" t="s">
        <v>276</v>
      </c>
      <c r="C24" s="52" t="s">
        <v>192</v>
      </c>
      <c r="D24" s="53" t="s">
        <v>193</v>
      </c>
      <c r="E24" s="52" t="s">
        <v>171</v>
      </c>
      <c r="F24" s="52" t="s">
        <v>263</v>
      </c>
      <c r="G24" s="52" t="s">
        <v>277</v>
      </c>
      <c r="H24" s="46" t="s">
        <v>174</v>
      </c>
      <c r="I24" s="52" t="s">
        <v>278</v>
      </c>
      <c r="J24" s="54" t="s">
        <v>279</v>
      </c>
      <c r="K24" s="55" t="s">
        <v>177</v>
      </c>
    </row>
    <row r="25" spans="1:11" ht="60" customHeight="1" x14ac:dyDescent="0.2">
      <c r="A25" s="46">
        <v>21</v>
      </c>
      <c r="B25" s="47" t="s">
        <v>280</v>
      </c>
      <c r="C25" s="47" t="s">
        <v>214</v>
      </c>
      <c r="D25" s="48" t="s">
        <v>193</v>
      </c>
      <c r="E25" s="47" t="s">
        <v>171</v>
      </c>
      <c r="F25" s="47" t="s">
        <v>263</v>
      </c>
      <c r="G25" s="47" t="s">
        <v>281</v>
      </c>
      <c r="H25" s="46" t="s">
        <v>174</v>
      </c>
      <c r="I25" s="47" t="s">
        <v>282</v>
      </c>
      <c r="J25" s="49" t="s">
        <v>283</v>
      </c>
      <c r="K25" s="50" t="s">
        <v>177</v>
      </c>
    </row>
    <row r="26" spans="1:11" ht="60" customHeight="1" x14ac:dyDescent="0.2">
      <c r="A26" s="51">
        <v>22</v>
      </c>
      <c r="B26" s="52" t="s">
        <v>284</v>
      </c>
      <c r="C26" s="52" t="s">
        <v>285</v>
      </c>
      <c r="D26" s="53" t="s">
        <v>187</v>
      </c>
      <c r="E26" s="52" t="s">
        <v>286</v>
      </c>
      <c r="F26" s="52" t="s">
        <v>287</v>
      </c>
      <c r="G26" s="52" t="s">
        <v>288</v>
      </c>
      <c r="H26" s="46" t="s">
        <v>174</v>
      </c>
      <c r="I26" s="52" t="s">
        <v>289</v>
      </c>
      <c r="J26" s="54" t="s">
        <v>290</v>
      </c>
      <c r="K26" s="55" t="s">
        <v>177</v>
      </c>
    </row>
    <row r="27" spans="1:11" ht="60" customHeight="1" x14ac:dyDescent="0.2">
      <c r="A27" s="46">
        <v>23</v>
      </c>
      <c r="B27" s="47" t="s">
        <v>291</v>
      </c>
      <c r="C27" s="47" t="s">
        <v>292</v>
      </c>
      <c r="D27" s="48" t="s">
        <v>170</v>
      </c>
      <c r="E27" s="47" t="s">
        <v>171</v>
      </c>
      <c r="F27" s="47" t="s">
        <v>293</v>
      </c>
      <c r="G27" s="47" t="s">
        <v>294</v>
      </c>
      <c r="H27" s="46" t="s">
        <v>174</v>
      </c>
      <c r="I27" s="47" t="s">
        <v>295</v>
      </c>
      <c r="J27" s="49" t="s">
        <v>296</v>
      </c>
      <c r="K27" s="50" t="s">
        <v>177</v>
      </c>
    </row>
    <row r="28" spans="1:11" ht="60" customHeight="1" x14ac:dyDescent="0.2">
      <c r="A28" s="51">
        <v>24</v>
      </c>
      <c r="B28" s="52" t="s">
        <v>297</v>
      </c>
      <c r="C28" s="52" t="s">
        <v>186</v>
      </c>
      <c r="D28" s="53" t="s">
        <v>193</v>
      </c>
      <c r="E28" s="52" t="s">
        <v>298</v>
      </c>
      <c r="F28" s="52" t="s">
        <v>287</v>
      </c>
      <c r="G28" s="52" t="s">
        <v>299</v>
      </c>
      <c r="H28" s="46" t="s">
        <v>174</v>
      </c>
      <c r="I28" s="52" t="s">
        <v>300</v>
      </c>
      <c r="J28" s="54" t="s">
        <v>301</v>
      </c>
      <c r="K28" s="55" t="s">
        <v>177</v>
      </c>
    </row>
    <row r="29" spans="1:11" ht="60" customHeight="1" x14ac:dyDescent="0.2">
      <c r="A29" s="46">
        <v>25</v>
      </c>
      <c r="B29" s="47" t="s">
        <v>302</v>
      </c>
      <c r="C29" s="47" t="s">
        <v>186</v>
      </c>
      <c r="D29" s="48" t="s">
        <v>187</v>
      </c>
      <c r="E29" s="47" t="s">
        <v>171</v>
      </c>
      <c r="F29" s="47" t="s">
        <v>287</v>
      </c>
      <c r="G29" s="47" t="s">
        <v>303</v>
      </c>
      <c r="H29" s="46" t="s">
        <v>174</v>
      </c>
      <c r="I29" s="47" t="s">
        <v>304</v>
      </c>
      <c r="J29" s="49" t="s">
        <v>305</v>
      </c>
      <c r="K29" s="50" t="s">
        <v>177</v>
      </c>
    </row>
    <row r="30" spans="1:11" ht="60" customHeight="1" x14ac:dyDescent="0.2">
      <c r="A30" s="51">
        <v>26</v>
      </c>
      <c r="B30" s="52" t="s">
        <v>306</v>
      </c>
      <c r="C30" s="52" t="s">
        <v>307</v>
      </c>
      <c r="D30" s="53" t="s">
        <v>187</v>
      </c>
      <c r="E30" s="52" t="s">
        <v>171</v>
      </c>
      <c r="F30" s="52" t="s">
        <v>287</v>
      </c>
      <c r="G30" s="52" t="s">
        <v>308</v>
      </c>
      <c r="H30" s="46" t="s">
        <v>174</v>
      </c>
      <c r="I30" s="52" t="s">
        <v>309</v>
      </c>
      <c r="J30" s="54" t="s">
        <v>310</v>
      </c>
      <c r="K30" s="55" t="s">
        <v>177</v>
      </c>
    </row>
    <row r="31" spans="1:11" ht="60" customHeight="1" x14ac:dyDescent="0.2">
      <c r="A31" s="46">
        <v>27</v>
      </c>
      <c r="B31" s="47" t="s">
        <v>311</v>
      </c>
      <c r="C31" s="47" t="s">
        <v>312</v>
      </c>
      <c r="D31" s="48" t="s">
        <v>180</v>
      </c>
      <c r="E31" s="47" t="s">
        <v>171</v>
      </c>
      <c r="F31" s="47" t="s">
        <v>313</v>
      </c>
      <c r="G31" s="47" t="s">
        <v>314</v>
      </c>
      <c r="H31" s="46" t="s">
        <v>174</v>
      </c>
      <c r="I31" s="47" t="s">
        <v>315</v>
      </c>
      <c r="J31" s="49" t="s">
        <v>316</v>
      </c>
      <c r="K31" s="50" t="s">
        <v>177</v>
      </c>
    </row>
    <row r="32" spans="1:11" ht="60" customHeight="1" x14ac:dyDescent="0.2">
      <c r="A32" s="51">
        <v>28</v>
      </c>
      <c r="B32" s="52" t="s">
        <v>317</v>
      </c>
      <c r="C32" s="52" t="s">
        <v>318</v>
      </c>
      <c r="D32" s="53" t="s">
        <v>180</v>
      </c>
      <c r="E32" s="52" t="s">
        <v>171</v>
      </c>
      <c r="F32" s="52" t="s">
        <v>313</v>
      </c>
      <c r="G32" s="52" t="s">
        <v>319</v>
      </c>
      <c r="H32" s="46" t="s">
        <v>174</v>
      </c>
      <c r="I32" s="52" t="s">
        <v>320</v>
      </c>
      <c r="J32" s="54" t="s">
        <v>321</v>
      </c>
      <c r="K32" s="55" t="s">
        <v>177</v>
      </c>
    </row>
    <row r="33" spans="1:11" ht="60" customHeight="1" x14ac:dyDescent="0.2">
      <c r="A33" s="46">
        <v>29</v>
      </c>
      <c r="B33" s="47" t="s">
        <v>322</v>
      </c>
      <c r="C33" s="47" t="s">
        <v>186</v>
      </c>
      <c r="D33" s="48" t="s">
        <v>193</v>
      </c>
      <c r="E33" s="47" t="s">
        <v>171</v>
      </c>
      <c r="F33" s="47" t="s">
        <v>313</v>
      </c>
      <c r="G33" s="47" t="s">
        <v>323</v>
      </c>
      <c r="H33" s="46" t="s">
        <v>174</v>
      </c>
      <c r="I33" s="47" t="s">
        <v>324</v>
      </c>
      <c r="J33" s="49" t="s">
        <v>325</v>
      </c>
      <c r="K33" s="50" t="s">
        <v>177</v>
      </c>
    </row>
    <row r="34" spans="1:11" ht="60" customHeight="1" x14ac:dyDescent="0.2">
      <c r="A34" s="51">
        <v>30</v>
      </c>
      <c r="B34" s="52" t="s">
        <v>326</v>
      </c>
      <c r="C34" s="52" t="s">
        <v>327</v>
      </c>
      <c r="D34" s="53" t="s">
        <v>193</v>
      </c>
      <c r="E34" s="52" t="s">
        <v>171</v>
      </c>
      <c r="F34" s="52" t="s">
        <v>313</v>
      </c>
      <c r="G34" s="52" t="s">
        <v>328</v>
      </c>
      <c r="H34" s="46" t="s">
        <v>174</v>
      </c>
      <c r="I34" s="52" t="s">
        <v>329</v>
      </c>
      <c r="J34" s="54" t="s">
        <v>330</v>
      </c>
      <c r="K34" s="55" t="s">
        <v>177</v>
      </c>
    </row>
    <row r="35" spans="1:11" ht="60" customHeight="1" x14ac:dyDescent="0.2">
      <c r="A35" s="46">
        <v>31</v>
      </c>
      <c r="B35" s="47" t="s">
        <v>331</v>
      </c>
      <c r="C35" s="47" t="s">
        <v>332</v>
      </c>
      <c r="D35" s="48" t="s">
        <v>187</v>
      </c>
      <c r="E35" s="47" t="s">
        <v>171</v>
      </c>
      <c r="F35" s="47" t="s">
        <v>333</v>
      </c>
      <c r="G35" s="47" t="s">
        <v>334</v>
      </c>
      <c r="H35" s="46" t="s">
        <v>174</v>
      </c>
      <c r="I35" s="47" t="s">
        <v>335</v>
      </c>
      <c r="J35" s="49" t="s">
        <v>336</v>
      </c>
      <c r="K35" s="50" t="s">
        <v>177</v>
      </c>
    </row>
    <row r="36" spans="1:11" ht="60" customHeight="1" x14ac:dyDescent="0.2">
      <c r="A36" s="51">
        <v>32</v>
      </c>
      <c r="B36" s="52" t="s">
        <v>337</v>
      </c>
      <c r="C36" s="52" t="s">
        <v>242</v>
      </c>
      <c r="D36" s="53" t="s">
        <v>170</v>
      </c>
      <c r="E36" s="52" t="s">
        <v>171</v>
      </c>
      <c r="F36" s="52" t="s">
        <v>333</v>
      </c>
      <c r="G36" s="52" t="s">
        <v>338</v>
      </c>
      <c r="H36" s="46" t="s">
        <v>174</v>
      </c>
      <c r="I36" s="52" t="s">
        <v>339</v>
      </c>
      <c r="J36" s="54" t="s">
        <v>340</v>
      </c>
      <c r="K36" s="55" t="s">
        <v>177</v>
      </c>
    </row>
    <row r="37" spans="1:11" ht="60" customHeight="1" x14ac:dyDescent="0.2">
      <c r="A37" s="46">
        <v>33</v>
      </c>
      <c r="B37" s="47" t="s">
        <v>341</v>
      </c>
      <c r="C37" s="47" t="s">
        <v>342</v>
      </c>
      <c r="D37" s="48" t="s">
        <v>187</v>
      </c>
      <c r="E37" s="47" t="s">
        <v>171</v>
      </c>
      <c r="F37" s="47" t="s">
        <v>333</v>
      </c>
      <c r="G37" s="47" t="s">
        <v>343</v>
      </c>
      <c r="H37" s="46" t="s">
        <v>174</v>
      </c>
      <c r="I37" s="47" t="s">
        <v>344</v>
      </c>
      <c r="J37" s="49" t="s">
        <v>345</v>
      </c>
      <c r="K37" s="50" t="s">
        <v>177</v>
      </c>
    </row>
    <row r="38" spans="1:11" ht="60" customHeight="1" x14ac:dyDescent="0.2">
      <c r="A38" s="51">
        <v>34</v>
      </c>
      <c r="B38" s="52" t="s">
        <v>346</v>
      </c>
      <c r="C38" s="52" t="s">
        <v>347</v>
      </c>
      <c r="D38" s="53" t="s">
        <v>170</v>
      </c>
      <c r="E38" s="52" t="s">
        <v>171</v>
      </c>
      <c r="F38" s="52" t="s">
        <v>333</v>
      </c>
      <c r="G38" s="52" t="s">
        <v>348</v>
      </c>
      <c r="H38" s="46" t="s">
        <v>174</v>
      </c>
      <c r="I38" s="52" t="s">
        <v>349</v>
      </c>
      <c r="J38" s="54" t="s">
        <v>350</v>
      </c>
      <c r="K38" s="55" t="s">
        <v>177</v>
      </c>
    </row>
    <row r="39" spans="1:11" ht="60" customHeight="1" x14ac:dyDescent="0.2">
      <c r="A39" s="46">
        <v>35</v>
      </c>
      <c r="B39" s="47" t="s">
        <v>351</v>
      </c>
      <c r="C39" s="47" t="s">
        <v>186</v>
      </c>
      <c r="D39" s="48" t="s">
        <v>193</v>
      </c>
      <c r="E39" s="47" t="s">
        <v>171</v>
      </c>
      <c r="F39" s="47" t="s">
        <v>333</v>
      </c>
      <c r="G39" s="47" t="s">
        <v>352</v>
      </c>
      <c r="H39" s="46" t="s">
        <v>174</v>
      </c>
      <c r="I39" s="47" t="s">
        <v>353</v>
      </c>
      <c r="J39" s="49" t="s">
        <v>354</v>
      </c>
      <c r="K39" s="50" t="s">
        <v>177</v>
      </c>
    </row>
    <row r="40" spans="1:11" ht="60" customHeight="1" x14ac:dyDescent="0.2">
      <c r="A40" s="51">
        <v>36</v>
      </c>
      <c r="B40" s="52" t="s">
        <v>355</v>
      </c>
      <c r="C40" s="52" t="s">
        <v>356</v>
      </c>
      <c r="D40" s="53" t="s">
        <v>193</v>
      </c>
      <c r="E40" s="52" t="s">
        <v>357</v>
      </c>
      <c r="F40" s="52" t="s">
        <v>333</v>
      </c>
      <c r="G40" s="52" t="s">
        <v>358</v>
      </c>
      <c r="H40" s="46" t="s">
        <v>174</v>
      </c>
      <c r="I40" s="52" t="s">
        <v>359</v>
      </c>
      <c r="J40" s="54" t="s">
        <v>360</v>
      </c>
      <c r="K40" s="55" t="s">
        <v>177</v>
      </c>
    </row>
    <row r="41" spans="1:11" ht="60" customHeight="1" x14ac:dyDescent="0.2">
      <c r="A41" s="46">
        <v>37</v>
      </c>
      <c r="B41" s="47" t="s">
        <v>361</v>
      </c>
      <c r="C41" s="47" t="s">
        <v>362</v>
      </c>
      <c r="D41" s="48" t="s">
        <v>220</v>
      </c>
      <c r="E41" s="47" t="s">
        <v>171</v>
      </c>
      <c r="F41" s="47" t="s">
        <v>333</v>
      </c>
      <c r="G41" s="47" t="s">
        <v>363</v>
      </c>
      <c r="H41" s="46" t="s">
        <v>174</v>
      </c>
      <c r="I41" s="47" t="s">
        <v>364</v>
      </c>
      <c r="J41" s="49" t="s">
        <v>365</v>
      </c>
      <c r="K41" s="50" t="s">
        <v>177</v>
      </c>
    </row>
    <row r="42" spans="1:11" ht="60" customHeight="1" x14ac:dyDescent="0.2">
      <c r="A42" s="51">
        <v>38</v>
      </c>
      <c r="B42" s="52" t="s">
        <v>366</v>
      </c>
      <c r="C42" s="52" t="s">
        <v>327</v>
      </c>
      <c r="D42" s="53" t="s">
        <v>170</v>
      </c>
      <c r="E42" s="52" t="s">
        <v>171</v>
      </c>
      <c r="F42" s="52" t="s">
        <v>263</v>
      </c>
      <c r="G42" s="52" t="s">
        <v>367</v>
      </c>
      <c r="H42" s="46" t="s">
        <v>174</v>
      </c>
      <c r="I42" s="52" t="s">
        <v>368</v>
      </c>
      <c r="J42" s="54" t="s">
        <v>369</v>
      </c>
      <c r="K42" s="55" t="s">
        <v>177</v>
      </c>
    </row>
    <row r="43" spans="1:11" ht="60" customHeight="1" x14ac:dyDescent="0.2">
      <c r="A43" s="46">
        <v>39</v>
      </c>
      <c r="B43" s="47" t="s">
        <v>370</v>
      </c>
      <c r="C43" s="47" t="s">
        <v>186</v>
      </c>
      <c r="D43" s="48" t="s">
        <v>187</v>
      </c>
      <c r="E43" s="47" t="s">
        <v>171</v>
      </c>
      <c r="F43" s="47" t="s">
        <v>371</v>
      </c>
      <c r="G43" s="47" t="s">
        <v>372</v>
      </c>
      <c r="H43" s="46" t="s">
        <v>174</v>
      </c>
      <c r="I43" s="47" t="s">
        <v>373</v>
      </c>
      <c r="J43" s="49" t="s">
        <v>374</v>
      </c>
      <c r="K43" s="50" t="s">
        <v>177</v>
      </c>
    </row>
    <row r="44" spans="1:11" ht="60" customHeight="1" x14ac:dyDescent="0.2">
      <c r="A44" s="51">
        <v>40</v>
      </c>
      <c r="B44" s="52" t="s">
        <v>375</v>
      </c>
      <c r="C44" s="52" t="s">
        <v>186</v>
      </c>
      <c r="D44" s="53" t="s">
        <v>193</v>
      </c>
      <c r="E44" s="52" t="s">
        <v>171</v>
      </c>
      <c r="F44" s="52" t="s">
        <v>333</v>
      </c>
      <c r="G44" s="52" t="s">
        <v>376</v>
      </c>
      <c r="H44" s="46" t="s">
        <v>174</v>
      </c>
      <c r="I44" s="52" t="s">
        <v>377</v>
      </c>
      <c r="J44" s="54" t="s">
        <v>378</v>
      </c>
      <c r="K44" s="55" t="s">
        <v>177</v>
      </c>
    </row>
    <row r="45" spans="1:11" ht="60" customHeight="1" x14ac:dyDescent="0.2">
      <c r="A45" s="46">
        <v>41</v>
      </c>
      <c r="B45" s="47" t="s">
        <v>379</v>
      </c>
      <c r="C45" s="47" t="s">
        <v>380</v>
      </c>
      <c r="D45" s="48" t="s">
        <v>187</v>
      </c>
      <c r="E45" s="47" t="s">
        <v>381</v>
      </c>
      <c r="F45" s="47" t="s">
        <v>293</v>
      </c>
      <c r="G45" s="47" t="s">
        <v>382</v>
      </c>
      <c r="H45" s="46" t="s">
        <v>174</v>
      </c>
      <c r="I45" s="47" t="s">
        <v>383</v>
      </c>
      <c r="J45" s="49" t="s">
        <v>384</v>
      </c>
      <c r="K45" s="50" t="s">
        <v>177</v>
      </c>
    </row>
    <row r="46" spans="1:11" ht="60" customHeight="1" x14ac:dyDescent="0.2">
      <c r="A46" s="51">
        <v>42</v>
      </c>
      <c r="B46" s="52" t="s">
        <v>385</v>
      </c>
      <c r="C46" s="52" t="s">
        <v>386</v>
      </c>
      <c r="D46" s="53" t="s">
        <v>193</v>
      </c>
      <c r="E46" s="52" t="s">
        <v>387</v>
      </c>
      <c r="F46" s="52" t="s">
        <v>293</v>
      </c>
      <c r="G46" s="52" t="s">
        <v>388</v>
      </c>
      <c r="H46" s="46" t="s">
        <v>174</v>
      </c>
      <c r="I46" s="52" t="s">
        <v>389</v>
      </c>
      <c r="J46" s="54" t="s">
        <v>390</v>
      </c>
      <c r="K46" s="55" t="s">
        <v>177</v>
      </c>
    </row>
    <row r="47" spans="1:11" ht="60" customHeight="1" x14ac:dyDescent="0.2">
      <c r="A47" s="46">
        <v>43</v>
      </c>
      <c r="B47" s="47" t="s">
        <v>391</v>
      </c>
      <c r="C47" s="47" t="s">
        <v>186</v>
      </c>
      <c r="D47" s="48" t="s">
        <v>170</v>
      </c>
      <c r="E47" s="47" t="s">
        <v>392</v>
      </c>
      <c r="F47" s="47" t="s">
        <v>293</v>
      </c>
      <c r="G47" s="47" t="s">
        <v>393</v>
      </c>
      <c r="H47" s="46" t="s">
        <v>174</v>
      </c>
      <c r="I47" s="47" t="s">
        <v>394</v>
      </c>
      <c r="J47" s="49" t="s">
        <v>395</v>
      </c>
      <c r="K47" s="50" t="s">
        <v>177</v>
      </c>
    </row>
    <row r="48" spans="1:11" ht="60" customHeight="1" x14ac:dyDescent="0.2">
      <c r="A48" s="51">
        <v>44</v>
      </c>
      <c r="B48" s="52" t="s">
        <v>396</v>
      </c>
      <c r="C48" s="52" t="s">
        <v>356</v>
      </c>
      <c r="D48" s="53" t="s">
        <v>170</v>
      </c>
      <c r="E48" s="52" t="s">
        <v>397</v>
      </c>
      <c r="F48" s="52" t="s">
        <v>293</v>
      </c>
      <c r="G48" s="52" t="s">
        <v>398</v>
      </c>
      <c r="H48" s="46" t="s">
        <v>174</v>
      </c>
      <c r="I48" s="52" t="s">
        <v>399</v>
      </c>
      <c r="J48" s="54" t="s">
        <v>400</v>
      </c>
      <c r="K48" s="55" t="s">
        <v>177</v>
      </c>
    </row>
    <row r="49" spans="1:11" ht="60" customHeight="1" x14ac:dyDescent="0.2">
      <c r="A49" s="46">
        <v>45</v>
      </c>
      <c r="B49" s="47" t="s">
        <v>401</v>
      </c>
      <c r="C49" s="47" t="s">
        <v>402</v>
      </c>
      <c r="D49" s="48" t="s">
        <v>193</v>
      </c>
      <c r="E49" s="47" t="s">
        <v>403</v>
      </c>
      <c r="F49" s="47" t="s">
        <v>293</v>
      </c>
      <c r="G49" s="47" t="s">
        <v>404</v>
      </c>
      <c r="H49" s="46" t="s">
        <v>174</v>
      </c>
      <c r="I49" s="47" t="s">
        <v>405</v>
      </c>
      <c r="J49" s="49" t="s">
        <v>406</v>
      </c>
      <c r="K49" s="50" t="s">
        <v>177</v>
      </c>
    </row>
    <row r="50" spans="1:11" ht="60" customHeight="1" x14ac:dyDescent="0.2">
      <c r="A50" s="51">
        <v>46</v>
      </c>
      <c r="B50" s="52" t="s">
        <v>407</v>
      </c>
      <c r="C50" s="52" t="s">
        <v>356</v>
      </c>
      <c r="D50" s="53" t="s">
        <v>193</v>
      </c>
      <c r="E50" s="52" t="s">
        <v>408</v>
      </c>
      <c r="F50" s="52" t="s">
        <v>293</v>
      </c>
      <c r="G50" s="52" t="s">
        <v>409</v>
      </c>
      <c r="H50" s="46" t="s">
        <v>174</v>
      </c>
      <c r="I50" s="52" t="s">
        <v>410</v>
      </c>
      <c r="J50" s="54" t="s">
        <v>411</v>
      </c>
      <c r="K50" s="55" t="s">
        <v>177</v>
      </c>
    </row>
    <row r="51" spans="1:11" ht="60" customHeight="1" x14ac:dyDescent="0.2">
      <c r="A51" s="46">
        <v>47</v>
      </c>
      <c r="B51" s="47" t="s">
        <v>412</v>
      </c>
      <c r="C51" s="47" t="s">
        <v>413</v>
      </c>
      <c r="D51" s="48" t="s">
        <v>193</v>
      </c>
      <c r="E51" s="47" t="s">
        <v>414</v>
      </c>
      <c r="F51" s="47" t="s">
        <v>293</v>
      </c>
      <c r="G51" s="47" t="s">
        <v>415</v>
      </c>
      <c r="H51" s="46" t="s">
        <v>174</v>
      </c>
      <c r="I51" s="47" t="s">
        <v>416</v>
      </c>
      <c r="J51" s="49" t="s">
        <v>417</v>
      </c>
      <c r="K51" s="50" t="s">
        <v>177</v>
      </c>
    </row>
    <row r="52" spans="1:11" ht="60" customHeight="1" x14ac:dyDescent="0.2">
      <c r="A52" s="51">
        <v>48</v>
      </c>
      <c r="B52" s="52" t="s">
        <v>418</v>
      </c>
      <c r="C52" s="52" t="s">
        <v>419</v>
      </c>
      <c r="D52" s="53" t="s">
        <v>170</v>
      </c>
      <c r="E52" s="52" t="s">
        <v>420</v>
      </c>
      <c r="F52" s="52" t="s">
        <v>293</v>
      </c>
      <c r="G52" s="52" t="s">
        <v>421</v>
      </c>
      <c r="H52" s="46" t="s">
        <v>174</v>
      </c>
      <c r="I52" s="52" t="s">
        <v>422</v>
      </c>
      <c r="J52" s="54" t="s">
        <v>423</v>
      </c>
      <c r="K52" s="55" t="s">
        <v>177</v>
      </c>
    </row>
    <row r="53" spans="1:11" ht="60" customHeight="1" x14ac:dyDescent="0.2">
      <c r="A53" s="46">
        <v>49</v>
      </c>
      <c r="B53" s="47" t="s">
        <v>424</v>
      </c>
      <c r="C53" s="47" t="s">
        <v>425</v>
      </c>
      <c r="D53" s="48" t="s">
        <v>193</v>
      </c>
      <c r="E53" s="47" t="s">
        <v>426</v>
      </c>
      <c r="F53" s="47" t="s">
        <v>293</v>
      </c>
      <c r="G53" s="47" t="s">
        <v>427</v>
      </c>
      <c r="H53" s="46" t="s">
        <v>174</v>
      </c>
      <c r="I53" s="47" t="s">
        <v>428</v>
      </c>
      <c r="J53" s="49" t="s">
        <v>429</v>
      </c>
      <c r="K53" s="50" t="s">
        <v>177</v>
      </c>
    </row>
    <row r="54" spans="1:11" ht="60" customHeight="1" x14ac:dyDescent="0.2">
      <c r="A54" s="51">
        <v>50</v>
      </c>
      <c r="B54" s="52" t="s">
        <v>430</v>
      </c>
      <c r="C54" s="52" t="s">
        <v>186</v>
      </c>
      <c r="D54" s="53" t="s">
        <v>170</v>
      </c>
      <c r="E54" s="52" t="s">
        <v>431</v>
      </c>
      <c r="F54" s="52" t="s">
        <v>293</v>
      </c>
      <c r="G54" s="52" t="s">
        <v>432</v>
      </c>
      <c r="H54" s="46" t="s">
        <v>174</v>
      </c>
      <c r="I54" s="52" t="s">
        <v>433</v>
      </c>
      <c r="J54" s="54" t="s">
        <v>434</v>
      </c>
      <c r="K54" s="55" t="s">
        <v>177</v>
      </c>
    </row>
    <row r="55" spans="1:11" ht="60" customHeight="1" x14ac:dyDescent="0.2">
      <c r="A55" s="46">
        <v>51</v>
      </c>
      <c r="B55" s="47" t="s">
        <v>435</v>
      </c>
      <c r="C55" s="47" t="s">
        <v>186</v>
      </c>
      <c r="D55" s="48" t="s">
        <v>170</v>
      </c>
      <c r="E55" s="47" t="s">
        <v>436</v>
      </c>
      <c r="F55" s="47" t="s">
        <v>293</v>
      </c>
      <c r="G55" s="47" t="s">
        <v>437</v>
      </c>
      <c r="H55" s="46" t="s">
        <v>174</v>
      </c>
      <c r="I55" s="47" t="s">
        <v>438</v>
      </c>
      <c r="J55" s="49" t="s">
        <v>439</v>
      </c>
      <c r="K55" s="50" t="s">
        <v>177</v>
      </c>
    </row>
    <row r="56" spans="1:11" ht="60" customHeight="1" x14ac:dyDescent="0.2">
      <c r="A56" s="51">
        <v>52</v>
      </c>
      <c r="B56" s="52" t="s">
        <v>440</v>
      </c>
      <c r="C56" s="52" t="s">
        <v>186</v>
      </c>
      <c r="D56" s="53" t="s">
        <v>193</v>
      </c>
      <c r="E56" s="52" t="s">
        <v>441</v>
      </c>
      <c r="F56" s="52" t="s">
        <v>442</v>
      </c>
      <c r="G56" s="52" t="s">
        <v>443</v>
      </c>
      <c r="H56" s="46" t="s">
        <v>174</v>
      </c>
      <c r="I56" s="52" t="s">
        <v>444</v>
      </c>
      <c r="J56" s="54" t="s">
        <v>445</v>
      </c>
      <c r="K56" s="55" t="s">
        <v>177</v>
      </c>
    </row>
    <row r="57" spans="1:11" ht="60" customHeight="1" x14ac:dyDescent="0.2">
      <c r="A57" s="46">
        <v>53</v>
      </c>
      <c r="B57" s="47" t="s">
        <v>446</v>
      </c>
      <c r="C57" s="47" t="s">
        <v>447</v>
      </c>
      <c r="D57" s="48" t="s">
        <v>193</v>
      </c>
      <c r="E57" s="47" t="s">
        <v>448</v>
      </c>
      <c r="F57" s="47" t="s">
        <v>442</v>
      </c>
      <c r="G57" s="47" t="s">
        <v>449</v>
      </c>
      <c r="H57" s="46" t="s">
        <v>174</v>
      </c>
      <c r="I57" s="47" t="s">
        <v>450</v>
      </c>
      <c r="J57" s="49" t="s">
        <v>451</v>
      </c>
      <c r="K57" s="50" t="s">
        <v>177</v>
      </c>
    </row>
    <row r="58" spans="1:11" ht="60" customHeight="1" x14ac:dyDescent="0.2">
      <c r="A58" s="51">
        <v>54</v>
      </c>
      <c r="B58" s="52" t="s">
        <v>452</v>
      </c>
      <c r="C58" s="52" t="s">
        <v>214</v>
      </c>
      <c r="D58" s="53" t="s">
        <v>193</v>
      </c>
      <c r="E58" s="52" t="s">
        <v>453</v>
      </c>
      <c r="F58" s="52" t="s">
        <v>442</v>
      </c>
      <c r="G58" s="52" t="s">
        <v>454</v>
      </c>
      <c r="H58" s="46" t="s">
        <v>174</v>
      </c>
      <c r="I58" s="52" t="s">
        <v>455</v>
      </c>
      <c r="J58" s="54" t="s">
        <v>456</v>
      </c>
      <c r="K58" s="55" t="s">
        <v>177</v>
      </c>
    </row>
    <row r="59" spans="1:11" ht="60" customHeight="1" x14ac:dyDescent="0.2">
      <c r="A59" s="46">
        <v>55</v>
      </c>
      <c r="B59" s="47" t="s">
        <v>457</v>
      </c>
      <c r="C59" s="47" t="s">
        <v>186</v>
      </c>
      <c r="D59" s="48" t="s">
        <v>193</v>
      </c>
      <c r="E59" s="47" t="s">
        <v>458</v>
      </c>
      <c r="F59" s="47" t="s">
        <v>442</v>
      </c>
      <c r="G59" s="47" t="s">
        <v>459</v>
      </c>
      <c r="H59" s="46" t="s">
        <v>174</v>
      </c>
      <c r="I59" s="47" t="s">
        <v>460</v>
      </c>
      <c r="J59" s="49" t="s">
        <v>461</v>
      </c>
      <c r="K59" s="50" t="s">
        <v>177</v>
      </c>
    </row>
    <row r="60" spans="1:11" ht="60" customHeight="1" x14ac:dyDescent="0.2">
      <c r="A60" s="51">
        <v>56</v>
      </c>
      <c r="B60" s="52" t="s">
        <v>462</v>
      </c>
      <c r="C60" s="52" t="s">
        <v>186</v>
      </c>
      <c r="D60" s="53" t="s">
        <v>193</v>
      </c>
      <c r="E60" s="52" t="s">
        <v>463</v>
      </c>
      <c r="F60" s="52" t="s">
        <v>442</v>
      </c>
      <c r="G60" s="52" t="s">
        <v>464</v>
      </c>
      <c r="H60" s="46" t="s">
        <v>174</v>
      </c>
      <c r="I60" s="52" t="s">
        <v>465</v>
      </c>
      <c r="J60" s="54" t="s">
        <v>466</v>
      </c>
      <c r="K60" s="55" t="s">
        <v>177</v>
      </c>
    </row>
    <row r="61" spans="1:11" ht="60" customHeight="1" x14ac:dyDescent="0.2">
      <c r="A61" s="46">
        <v>57</v>
      </c>
      <c r="B61" s="47" t="s">
        <v>467</v>
      </c>
      <c r="C61" s="47" t="s">
        <v>186</v>
      </c>
      <c r="D61" s="48" t="s">
        <v>193</v>
      </c>
      <c r="E61" s="47" t="s">
        <v>468</v>
      </c>
      <c r="F61" s="47" t="s">
        <v>442</v>
      </c>
      <c r="G61" s="47" t="s">
        <v>469</v>
      </c>
      <c r="H61" s="46" t="s">
        <v>174</v>
      </c>
      <c r="I61" s="47" t="s">
        <v>470</v>
      </c>
      <c r="J61" s="49" t="s">
        <v>471</v>
      </c>
      <c r="K61" s="50" t="s">
        <v>177</v>
      </c>
    </row>
    <row r="62" spans="1:11" ht="60" customHeight="1" x14ac:dyDescent="0.2">
      <c r="A62" s="51">
        <v>58</v>
      </c>
      <c r="B62" s="52" t="s">
        <v>472</v>
      </c>
      <c r="C62" s="52" t="s">
        <v>186</v>
      </c>
      <c r="D62" s="53" t="s">
        <v>193</v>
      </c>
      <c r="E62" s="52" t="s">
        <v>473</v>
      </c>
      <c r="F62" s="52" t="s">
        <v>442</v>
      </c>
      <c r="G62" s="52" t="s">
        <v>474</v>
      </c>
      <c r="H62" s="46" t="s">
        <v>174</v>
      </c>
      <c r="I62" s="52" t="s">
        <v>475</v>
      </c>
      <c r="J62" s="54" t="s">
        <v>476</v>
      </c>
      <c r="K62" s="55" t="s">
        <v>177</v>
      </c>
    </row>
    <row r="63" spans="1:11" ht="60" customHeight="1" x14ac:dyDescent="0.2">
      <c r="A63" s="46">
        <v>59</v>
      </c>
      <c r="B63" s="47" t="s">
        <v>477</v>
      </c>
      <c r="C63" s="47" t="s">
        <v>186</v>
      </c>
      <c r="D63" s="48" t="s">
        <v>170</v>
      </c>
      <c r="E63" s="47" t="s">
        <v>478</v>
      </c>
      <c r="F63" s="47" t="s">
        <v>442</v>
      </c>
      <c r="G63" s="47" t="s">
        <v>479</v>
      </c>
      <c r="H63" s="46" t="s">
        <v>174</v>
      </c>
      <c r="I63" s="47" t="s">
        <v>480</v>
      </c>
      <c r="J63" s="49" t="s">
        <v>481</v>
      </c>
      <c r="K63" s="50" t="s">
        <v>177</v>
      </c>
    </row>
    <row r="64" spans="1:11" ht="60" customHeight="1" x14ac:dyDescent="0.2">
      <c r="A64" s="51">
        <v>60</v>
      </c>
      <c r="B64" s="52" t="s">
        <v>482</v>
      </c>
      <c r="C64" s="52" t="s">
        <v>483</v>
      </c>
      <c r="D64" s="53" t="s">
        <v>193</v>
      </c>
      <c r="E64" s="52" t="s">
        <v>484</v>
      </c>
      <c r="F64" s="52" t="s">
        <v>371</v>
      </c>
      <c r="G64" s="52" t="s">
        <v>485</v>
      </c>
      <c r="H64" s="46" t="s">
        <v>174</v>
      </c>
      <c r="I64" s="52" t="s">
        <v>486</v>
      </c>
      <c r="J64" s="54" t="s">
        <v>487</v>
      </c>
      <c r="K64" s="55" t="s">
        <v>177</v>
      </c>
    </row>
    <row r="65" spans="1:11" ht="60" customHeight="1" x14ac:dyDescent="0.2">
      <c r="A65" s="46">
        <v>61</v>
      </c>
      <c r="B65" s="47" t="s">
        <v>488</v>
      </c>
      <c r="C65" s="47" t="s">
        <v>489</v>
      </c>
      <c r="D65" s="48" t="s">
        <v>193</v>
      </c>
      <c r="E65" s="47" t="s">
        <v>490</v>
      </c>
      <c r="F65" s="47" t="s">
        <v>371</v>
      </c>
      <c r="G65" s="47" t="s">
        <v>491</v>
      </c>
      <c r="H65" s="46" t="s">
        <v>174</v>
      </c>
      <c r="I65" s="47" t="s">
        <v>492</v>
      </c>
      <c r="J65" s="49" t="s">
        <v>493</v>
      </c>
      <c r="K65" s="50" t="s">
        <v>177</v>
      </c>
    </row>
    <row r="66" spans="1:11" ht="60" customHeight="1" x14ac:dyDescent="0.2">
      <c r="A66" s="51">
        <v>62</v>
      </c>
      <c r="B66" s="52" t="s">
        <v>494</v>
      </c>
      <c r="C66" s="52" t="s">
        <v>292</v>
      </c>
      <c r="D66" s="53" t="s">
        <v>187</v>
      </c>
      <c r="E66" s="52" t="s">
        <v>495</v>
      </c>
      <c r="F66" s="52" t="s">
        <v>371</v>
      </c>
      <c r="G66" s="52" t="s">
        <v>496</v>
      </c>
      <c r="H66" s="46" t="s">
        <v>174</v>
      </c>
      <c r="I66" s="52" t="s">
        <v>497</v>
      </c>
      <c r="J66" s="54" t="s">
        <v>498</v>
      </c>
      <c r="K66" s="55" t="s">
        <v>177</v>
      </c>
    </row>
    <row r="67" spans="1:11" ht="60" customHeight="1" x14ac:dyDescent="0.2">
      <c r="A67" s="46">
        <v>63</v>
      </c>
      <c r="B67" s="47" t="s">
        <v>499</v>
      </c>
      <c r="C67" s="47" t="s">
        <v>342</v>
      </c>
      <c r="D67" s="48" t="s">
        <v>193</v>
      </c>
      <c r="E67" s="47" t="s">
        <v>500</v>
      </c>
      <c r="F67" s="47" t="s">
        <v>371</v>
      </c>
      <c r="G67" s="47" t="s">
        <v>501</v>
      </c>
      <c r="H67" s="46" t="s">
        <v>174</v>
      </c>
      <c r="I67" s="47" t="s">
        <v>502</v>
      </c>
      <c r="J67" s="49" t="s">
        <v>503</v>
      </c>
      <c r="K67" s="50" t="s">
        <v>177</v>
      </c>
    </row>
    <row r="68" spans="1:11" ht="60" customHeight="1" x14ac:dyDescent="0.2">
      <c r="A68" s="51">
        <v>69</v>
      </c>
      <c r="B68" s="52" t="s">
        <v>504</v>
      </c>
      <c r="C68" s="52" t="s">
        <v>505</v>
      </c>
      <c r="D68" s="53" t="s">
        <v>180</v>
      </c>
      <c r="E68" s="52" t="s">
        <v>506</v>
      </c>
      <c r="F68" s="52" t="s">
        <v>507</v>
      </c>
      <c r="G68" s="52" t="s">
        <v>508</v>
      </c>
      <c r="H68" s="46" t="s">
        <v>174</v>
      </c>
      <c r="I68" s="52" t="s">
        <v>509</v>
      </c>
      <c r="J68" s="54" t="s">
        <v>510</v>
      </c>
      <c r="K68" s="55" t="s">
        <v>177</v>
      </c>
    </row>
    <row r="69" spans="1:11" ht="60" customHeight="1" x14ac:dyDescent="0.2">
      <c r="A69" s="46">
        <v>70</v>
      </c>
      <c r="B69" s="47" t="s">
        <v>511</v>
      </c>
      <c r="C69" s="47" t="s">
        <v>505</v>
      </c>
      <c r="D69" s="48" t="s">
        <v>187</v>
      </c>
      <c r="E69" s="47" t="s">
        <v>512</v>
      </c>
      <c r="F69" s="47" t="s">
        <v>507</v>
      </c>
      <c r="G69" s="47" t="s">
        <v>513</v>
      </c>
      <c r="H69" s="46" t="s">
        <v>174</v>
      </c>
      <c r="I69" s="47" t="s">
        <v>514</v>
      </c>
      <c r="J69" s="49" t="s">
        <v>515</v>
      </c>
      <c r="K69" s="50" t="s">
        <v>177</v>
      </c>
    </row>
    <row r="70" spans="1:11" ht="60" customHeight="1" x14ac:dyDescent="0.2">
      <c r="A70" s="51">
        <v>71</v>
      </c>
      <c r="B70" s="52" t="s">
        <v>516</v>
      </c>
      <c r="C70" s="52" t="s">
        <v>505</v>
      </c>
      <c r="D70" s="53" t="s">
        <v>180</v>
      </c>
      <c r="E70" s="52" t="s">
        <v>517</v>
      </c>
      <c r="F70" s="52" t="s">
        <v>507</v>
      </c>
      <c r="G70" s="52" t="s">
        <v>518</v>
      </c>
      <c r="H70" s="46" t="s">
        <v>174</v>
      </c>
      <c r="I70" s="52" t="s">
        <v>519</v>
      </c>
      <c r="J70" s="54" t="s">
        <v>520</v>
      </c>
      <c r="K70" s="55" t="s">
        <v>177</v>
      </c>
    </row>
    <row r="71" spans="1:11" ht="60" customHeight="1" x14ac:dyDescent="0.2">
      <c r="A71" s="46">
        <v>72</v>
      </c>
      <c r="B71" s="47" t="s">
        <v>521</v>
      </c>
      <c r="C71" s="47" t="s">
        <v>522</v>
      </c>
      <c r="D71" s="48" t="s">
        <v>180</v>
      </c>
      <c r="E71" s="47" t="s">
        <v>523</v>
      </c>
      <c r="F71" s="47" t="s">
        <v>507</v>
      </c>
      <c r="G71" s="47" t="s">
        <v>524</v>
      </c>
      <c r="H71" s="46" t="s">
        <v>174</v>
      </c>
      <c r="I71" s="47" t="s">
        <v>525</v>
      </c>
      <c r="J71" s="49" t="s">
        <v>526</v>
      </c>
      <c r="K71" s="50" t="s">
        <v>177</v>
      </c>
    </row>
    <row r="72" spans="1:11" ht="60" customHeight="1" x14ac:dyDescent="0.2">
      <c r="A72" s="51">
        <v>73</v>
      </c>
      <c r="B72" s="52" t="s">
        <v>527</v>
      </c>
      <c r="C72" s="52" t="s">
        <v>186</v>
      </c>
      <c r="D72" s="53" t="s">
        <v>193</v>
      </c>
      <c r="E72" s="52" t="s">
        <v>528</v>
      </c>
      <c r="F72" s="52" t="s">
        <v>507</v>
      </c>
      <c r="G72" s="52" t="s">
        <v>529</v>
      </c>
      <c r="H72" s="46" t="s">
        <v>174</v>
      </c>
      <c r="I72" s="52" t="s">
        <v>530</v>
      </c>
      <c r="J72" s="54" t="s">
        <v>531</v>
      </c>
      <c r="K72" s="55" t="s">
        <v>177</v>
      </c>
    </row>
    <row r="73" spans="1:11" ht="60" customHeight="1" x14ac:dyDescent="0.2">
      <c r="A73" s="46">
        <v>74</v>
      </c>
      <c r="B73" s="47" t="s">
        <v>532</v>
      </c>
      <c r="C73" s="47" t="s">
        <v>292</v>
      </c>
      <c r="D73" s="48" t="s">
        <v>180</v>
      </c>
      <c r="E73" s="47" t="s">
        <v>533</v>
      </c>
      <c r="F73" s="47" t="s">
        <v>534</v>
      </c>
      <c r="G73" s="47" t="s">
        <v>535</v>
      </c>
      <c r="H73" s="46" t="s">
        <v>174</v>
      </c>
      <c r="I73" s="47" t="s">
        <v>536</v>
      </c>
      <c r="J73" s="49" t="s">
        <v>537</v>
      </c>
      <c r="K73" s="50" t="s">
        <v>177</v>
      </c>
    </row>
    <row r="74" spans="1:11" ht="60" customHeight="1" x14ac:dyDescent="0.2">
      <c r="A74" s="51">
        <v>75</v>
      </c>
      <c r="B74" s="52" t="s">
        <v>538</v>
      </c>
      <c r="C74" s="52" t="s">
        <v>522</v>
      </c>
      <c r="D74" s="53" t="s">
        <v>193</v>
      </c>
      <c r="E74" s="52" t="s">
        <v>539</v>
      </c>
      <c r="F74" s="52" t="s">
        <v>534</v>
      </c>
      <c r="G74" s="52" t="s">
        <v>540</v>
      </c>
      <c r="H74" s="46" t="s">
        <v>174</v>
      </c>
      <c r="I74" s="52" t="s">
        <v>541</v>
      </c>
      <c r="J74" s="54" t="s">
        <v>542</v>
      </c>
      <c r="K74" s="55" t="s">
        <v>177</v>
      </c>
    </row>
    <row r="75" spans="1:11" ht="60" customHeight="1" x14ac:dyDescent="0.2">
      <c r="A75" s="46">
        <v>76</v>
      </c>
      <c r="B75" s="47" t="s">
        <v>543</v>
      </c>
      <c r="C75" s="47" t="s">
        <v>544</v>
      </c>
      <c r="D75" s="48" t="s">
        <v>180</v>
      </c>
      <c r="E75" s="47" t="s">
        <v>545</v>
      </c>
      <c r="F75" s="47" t="s">
        <v>534</v>
      </c>
      <c r="G75" s="47" t="s">
        <v>546</v>
      </c>
      <c r="H75" s="46" t="s">
        <v>174</v>
      </c>
      <c r="I75" s="47" t="s">
        <v>547</v>
      </c>
      <c r="J75" s="49" t="s">
        <v>548</v>
      </c>
      <c r="K75" s="50" t="s">
        <v>177</v>
      </c>
    </row>
    <row r="76" spans="1:11" ht="60" customHeight="1" x14ac:dyDescent="0.2">
      <c r="A76" s="51">
        <v>77</v>
      </c>
      <c r="B76" s="52" t="s">
        <v>549</v>
      </c>
      <c r="C76" s="52" t="s">
        <v>550</v>
      </c>
      <c r="D76" s="53" t="s">
        <v>187</v>
      </c>
      <c r="E76" s="52" t="s">
        <v>551</v>
      </c>
      <c r="F76" s="52" t="s">
        <v>534</v>
      </c>
      <c r="G76" s="52" t="s">
        <v>552</v>
      </c>
      <c r="H76" s="46" t="s">
        <v>174</v>
      </c>
      <c r="I76" s="52" t="s">
        <v>553</v>
      </c>
      <c r="J76" s="54" t="s">
        <v>554</v>
      </c>
      <c r="K76" s="55" t="s">
        <v>177</v>
      </c>
    </row>
    <row r="77" spans="1:11" ht="60" customHeight="1" x14ac:dyDescent="0.2">
      <c r="A77" s="46">
        <v>78</v>
      </c>
      <c r="B77" s="47" t="s">
        <v>555</v>
      </c>
      <c r="C77" s="47" t="s">
        <v>186</v>
      </c>
      <c r="D77" s="48" t="s">
        <v>187</v>
      </c>
      <c r="E77" s="47" t="s">
        <v>556</v>
      </c>
      <c r="F77" s="47" t="s">
        <v>557</v>
      </c>
      <c r="G77" s="47" t="s">
        <v>558</v>
      </c>
      <c r="H77" s="46" t="s">
        <v>174</v>
      </c>
      <c r="I77" s="47" t="s">
        <v>559</v>
      </c>
      <c r="J77" s="49" t="s">
        <v>560</v>
      </c>
      <c r="K77" s="50" t="s">
        <v>177</v>
      </c>
    </row>
    <row r="78" spans="1:11" ht="60" customHeight="1" x14ac:dyDescent="0.2">
      <c r="A78" s="51">
        <v>79</v>
      </c>
      <c r="B78" s="52" t="s">
        <v>561</v>
      </c>
      <c r="C78" s="52" t="s">
        <v>186</v>
      </c>
      <c r="D78" s="53" t="s">
        <v>187</v>
      </c>
      <c r="E78" s="52" t="s">
        <v>562</v>
      </c>
      <c r="F78" s="52" t="s">
        <v>557</v>
      </c>
      <c r="G78" s="52" t="s">
        <v>563</v>
      </c>
      <c r="H78" s="46" t="s">
        <v>174</v>
      </c>
      <c r="I78" s="52" t="s">
        <v>564</v>
      </c>
      <c r="J78" s="54" t="s">
        <v>565</v>
      </c>
      <c r="K78" s="55" t="s">
        <v>177</v>
      </c>
    </row>
    <row r="79" spans="1:11" ht="60" customHeight="1" x14ac:dyDescent="0.2">
      <c r="A79" s="46">
        <v>80</v>
      </c>
      <c r="B79" s="47" t="s">
        <v>566</v>
      </c>
      <c r="C79" s="47" t="s">
        <v>567</v>
      </c>
      <c r="D79" s="48" t="s">
        <v>220</v>
      </c>
      <c r="E79" s="47" t="s">
        <v>568</v>
      </c>
      <c r="F79" s="47" t="s">
        <v>557</v>
      </c>
      <c r="G79" s="47" t="s">
        <v>569</v>
      </c>
      <c r="H79" s="46" t="s">
        <v>174</v>
      </c>
      <c r="I79" s="47" t="s">
        <v>570</v>
      </c>
      <c r="J79" s="49" t="s">
        <v>571</v>
      </c>
      <c r="K79" s="50" t="s">
        <v>177</v>
      </c>
    </row>
    <row r="80" spans="1:11" ht="60" customHeight="1" x14ac:dyDescent="0.2">
      <c r="A80" s="51">
        <v>81</v>
      </c>
      <c r="B80" s="52" t="s">
        <v>572</v>
      </c>
      <c r="C80" s="52" t="s">
        <v>186</v>
      </c>
      <c r="D80" s="53" t="s">
        <v>193</v>
      </c>
      <c r="E80" s="52" t="s">
        <v>573</v>
      </c>
      <c r="F80" s="52" t="s">
        <v>557</v>
      </c>
      <c r="G80" s="52" t="s">
        <v>574</v>
      </c>
      <c r="H80" s="46" t="s">
        <v>174</v>
      </c>
      <c r="I80" s="52" t="s">
        <v>575</v>
      </c>
      <c r="J80" s="54" t="s">
        <v>576</v>
      </c>
      <c r="K80" s="55" t="s">
        <v>177</v>
      </c>
    </row>
    <row r="81" spans="1:11" ht="60" customHeight="1" x14ac:dyDescent="0.2">
      <c r="A81" s="46">
        <v>82</v>
      </c>
      <c r="B81" s="47" t="s">
        <v>577</v>
      </c>
      <c r="C81" s="47" t="s">
        <v>186</v>
      </c>
      <c r="D81" s="48" t="s">
        <v>193</v>
      </c>
      <c r="E81" s="47" t="s">
        <v>578</v>
      </c>
      <c r="F81" s="47" t="s">
        <v>557</v>
      </c>
      <c r="G81" s="47" t="s">
        <v>579</v>
      </c>
      <c r="H81" s="46" t="s">
        <v>174</v>
      </c>
      <c r="I81" s="47" t="s">
        <v>580</v>
      </c>
      <c r="J81" s="49" t="s">
        <v>581</v>
      </c>
      <c r="K81" s="50" t="s">
        <v>177</v>
      </c>
    </row>
    <row r="82" spans="1:11" ht="60" customHeight="1" x14ac:dyDescent="0.2">
      <c r="A82" s="51">
        <v>83</v>
      </c>
      <c r="B82" s="52" t="s">
        <v>582</v>
      </c>
      <c r="C82" s="52" t="s">
        <v>186</v>
      </c>
      <c r="D82" s="53" t="s">
        <v>187</v>
      </c>
      <c r="E82" s="52" t="s">
        <v>583</v>
      </c>
      <c r="F82" s="52" t="s">
        <v>584</v>
      </c>
      <c r="G82" s="52" t="s">
        <v>585</v>
      </c>
      <c r="H82" s="46" t="s">
        <v>174</v>
      </c>
      <c r="I82" s="52" t="s">
        <v>586</v>
      </c>
      <c r="J82" s="54" t="s">
        <v>587</v>
      </c>
      <c r="K82" s="55" t="s">
        <v>177</v>
      </c>
    </row>
    <row r="83" spans="1:11" ht="60" customHeight="1" x14ac:dyDescent="0.2">
      <c r="A83" s="46">
        <v>84</v>
      </c>
      <c r="B83" s="47" t="s">
        <v>588</v>
      </c>
      <c r="C83" s="47" t="s">
        <v>186</v>
      </c>
      <c r="D83" s="48" t="s">
        <v>193</v>
      </c>
      <c r="E83" s="47" t="s">
        <v>589</v>
      </c>
      <c r="F83" s="47" t="s">
        <v>584</v>
      </c>
      <c r="G83" s="47" t="s">
        <v>590</v>
      </c>
      <c r="H83" s="46" t="s">
        <v>174</v>
      </c>
      <c r="I83" s="47" t="s">
        <v>591</v>
      </c>
      <c r="J83" s="49" t="s">
        <v>592</v>
      </c>
      <c r="K83" s="50" t="s">
        <v>177</v>
      </c>
    </row>
    <row r="84" spans="1:11" ht="60" customHeight="1" x14ac:dyDescent="0.2">
      <c r="A84" s="51">
        <v>85</v>
      </c>
      <c r="B84" s="52" t="s">
        <v>593</v>
      </c>
      <c r="C84" s="52" t="s">
        <v>186</v>
      </c>
      <c r="D84" s="53" t="s">
        <v>187</v>
      </c>
      <c r="E84" s="52" t="s">
        <v>594</v>
      </c>
      <c r="F84" s="52" t="s">
        <v>584</v>
      </c>
      <c r="G84" s="52" t="s">
        <v>595</v>
      </c>
      <c r="H84" s="46" t="s">
        <v>174</v>
      </c>
      <c r="I84" s="52" t="s">
        <v>596</v>
      </c>
      <c r="J84" s="54" t="s">
        <v>597</v>
      </c>
      <c r="K84" s="55" t="s">
        <v>177</v>
      </c>
    </row>
    <row r="85" spans="1:11" ht="60" customHeight="1" x14ac:dyDescent="0.2">
      <c r="A85" s="46">
        <v>86</v>
      </c>
      <c r="B85" s="47" t="s">
        <v>598</v>
      </c>
      <c r="C85" s="47" t="s">
        <v>186</v>
      </c>
      <c r="D85" s="48" t="s">
        <v>187</v>
      </c>
      <c r="E85" s="47" t="s">
        <v>599</v>
      </c>
      <c r="F85" s="47" t="s">
        <v>600</v>
      </c>
      <c r="G85" s="47" t="s">
        <v>601</v>
      </c>
      <c r="H85" s="46" t="s">
        <v>174</v>
      </c>
      <c r="I85" s="47" t="s">
        <v>602</v>
      </c>
      <c r="J85" s="49" t="s">
        <v>603</v>
      </c>
      <c r="K85" s="50" t="s">
        <v>177</v>
      </c>
    </row>
    <row r="86" spans="1:11" ht="60" customHeight="1" x14ac:dyDescent="0.2">
      <c r="A86" s="51">
        <v>64</v>
      </c>
      <c r="B86" s="52" t="s">
        <v>604</v>
      </c>
      <c r="C86" s="52" t="s">
        <v>605</v>
      </c>
      <c r="D86" s="53" t="s">
        <v>193</v>
      </c>
      <c r="E86" s="52" t="s">
        <v>606</v>
      </c>
      <c r="F86" s="52" t="s">
        <v>607</v>
      </c>
      <c r="G86" s="52" t="s">
        <v>608</v>
      </c>
      <c r="H86" s="46" t="s">
        <v>174</v>
      </c>
      <c r="I86" s="52" t="s">
        <v>609</v>
      </c>
      <c r="J86" s="54" t="s">
        <v>610</v>
      </c>
      <c r="K86" s="55" t="s">
        <v>177</v>
      </c>
    </row>
    <row r="87" spans="1:11" ht="60" customHeight="1" x14ac:dyDescent="0.2">
      <c r="A87" s="46">
        <v>65</v>
      </c>
      <c r="B87" s="47" t="s">
        <v>611</v>
      </c>
      <c r="C87" s="47" t="s">
        <v>612</v>
      </c>
      <c r="D87" s="48" t="s">
        <v>170</v>
      </c>
      <c r="E87" s="47" t="s">
        <v>613</v>
      </c>
      <c r="F87" s="47" t="s">
        <v>607</v>
      </c>
      <c r="G87" s="47" t="s">
        <v>614</v>
      </c>
      <c r="H87" s="46" t="s">
        <v>174</v>
      </c>
      <c r="I87" s="47" t="s">
        <v>615</v>
      </c>
      <c r="J87" s="49" t="s">
        <v>616</v>
      </c>
      <c r="K87" s="50" t="s">
        <v>177</v>
      </c>
    </row>
    <row r="88" spans="1:11" ht="60" customHeight="1" x14ac:dyDescent="0.2">
      <c r="A88" s="51">
        <v>66</v>
      </c>
      <c r="B88" s="52" t="s">
        <v>617</v>
      </c>
      <c r="C88" s="52" t="s">
        <v>169</v>
      </c>
      <c r="D88" s="53" t="s">
        <v>187</v>
      </c>
      <c r="E88" s="52" t="s">
        <v>618</v>
      </c>
      <c r="F88" s="52" t="s">
        <v>607</v>
      </c>
      <c r="G88" s="52" t="s">
        <v>619</v>
      </c>
      <c r="H88" s="46" t="s">
        <v>174</v>
      </c>
      <c r="I88" s="52" t="s">
        <v>620</v>
      </c>
      <c r="J88" s="54" t="s">
        <v>621</v>
      </c>
      <c r="K88" s="55" t="s">
        <v>177</v>
      </c>
    </row>
    <row r="89" spans="1:11" ht="60" customHeight="1" x14ac:dyDescent="0.2">
      <c r="A89" s="46">
        <v>67</v>
      </c>
      <c r="B89" s="47" t="s">
        <v>622</v>
      </c>
      <c r="C89" s="47" t="s">
        <v>522</v>
      </c>
      <c r="D89" s="48" t="s">
        <v>193</v>
      </c>
      <c r="E89" s="47" t="s">
        <v>623</v>
      </c>
      <c r="F89" s="47" t="s">
        <v>607</v>
      </c>
      <c r="G89" s="47" t="s">
        <v>624</v>
      </c>
      <c r="H89" s="46" t="s">
        <v>174</v>
      </c>
      <c r="I89" s="47" t="s">
        <v>625</v>
      </c>
      <c r="J89" s="49" t="s">
        <v>626</v>
      </c>
      <c r="K89" s="50" t="s">
        <v>177</v>
      </c>
    </row>
    <row r="90" spans="1:11" ht="60" customHeight="1" x14ac:dyDescent="0.2">
      <c r="A90" s="51">
        <v>68</v>
      </c>
      <c r="B90" s="52" t="s">
        <v>627</v>
      </c>
      <c r="C90" s="52" t="s">
        <v>628</v>
      </c>
      <c r="D90" s="53" t="s">
        <v>193</v>
      </c>
      <c r="E90" s="52" t="s">
        <v>629</v>
      </c>
      <c r="F90" s="52" t="s">
        <v>607</v>
      </c>
      <c r="G90" s="52" t="s">
        <v>630</v>
      </c>
      <c r="H90" s="46" t="s">
        <v>174</v>
      </c>
      <c r="I90" s="52" t="s">
        <v>631</v>
      </c>
      <c r="J90" s="54" t="s">
        <v>632</v>
      </c>
      <c r="K90" s="55" t="s">
        <v>177</v>
      </c>
    </row>
    <row r="92" spans="1:11" x14ac:dyDescent="0.2">
      <c r="A92" s="5" t="s">
        <v>633</v>
      </c>
      <c r="B92" s="3"/>
      <c r="C92" s="3"/>
      <c r="D92" s="3"/>
      <c r="E92" s="3"/>
      <c r="F92" s="3"/>
      <c r="G92" s="3"/>
      <c r="H92" s="3"/>
      <c r="I92" s="3"/>
      <c r="J92" s="3"/>
      <c r="K92" s="3"/>
    </row>
  </sheetData>
  <autoFilter ref="A4:K90" xr:uid="{00000000-0009-0000-0000-000006000000}"/>
  <mergeCells count="3">
    <mergeCell ref="A2:K2"/>
    <mergeCell ref="A1:K1"/>
    <mergeCell ref="A92:K92"/>
  </mergeCells>
  <dataValidations count="1">
    <dataValidation type="list" showErrorMessage="1" errorTitle="Invalid value" error="Choose: Unread, Reading, Read, or Reviewed" sqref="H5:H90" xr:uid="{00000000-0002-0000-0600-000000000000}">
      <formula1>"Unread,Reading,Read,Reviewed"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Dashboard</vt:lpstr>
      <vt:lpstr>G1 - Foundation</vt:lpstr>
      <vt:lpstr>G2 - Path A</vt:lpstr>
      <vt:lpstr>G3 - Path B</vt:lpstr>
      <vt:lpstr>G4 - Integration</vt:lpstr>
      <vt:lpstr>Research</vt:lpstr>
      <vt:lpstr>Research Papers</vt:lpstr>
      <vt:lpstr>Dashboard!Print_Area</vt:lpstr>
      <vt:lpstr>'G1 - Foundation'!Print_Area</vt:lpstr>
      <vt:lpstr>'G2 - Path A'!Print_Area</vt:lpstr>
      <vt:lpstr>'G3 - Path B'!Print_Area</vt:lpstr>
      <vt:lpstr>Research!Print_Area</vt:lpstr>
      <vt:lpstr>'Research Papers'!Print_Area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Minh Hoàng Tôn</cp:lastModifiedBy>
  <dcterms:created xsi:type="dcterms:W3CDTF">2026-06-11T04:19:25Z</dcterms:created>
  <dcterms:modified xsi:type="dcterms:W3CDTF">2026-06-12T06:55:35Z</dcterms:modified>
</cp:coreProperties>
</file>