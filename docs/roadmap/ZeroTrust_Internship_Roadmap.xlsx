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1 - Foundation" sheetId="2" state="visible" r:id="rId2"/>
    <sheet xmlns:r="http://schemas.openxmlformats.org/officeDocument/2006/relationships" name="G2 - Path A" sheetId="3" state="visible" r:id="rId3"/>
    <sheet xmlns:r="http://schemas.openxmlformats.org/officeDocument/2006/relationships" name="G3 - Path B" sheetId="4" state="visible" r:id="rId4"/>
    <sheet xmlns:r="http://schemas.openxmlformats.org/officeDocument/2006/relationships" name="G4 - Integration" sheetId="5" state="visible" r:id="rId5"/>
    <sheet xmlns:r="http://schemas.openxmlformats.org/officeDocument/2006/relationships" name="Research" sheetId="6" state="visible" r:id="rId6"/>
    <sheet xmlns:r="http://schemas.openxmlformats.org/officeDocument/2006/relationships" name="Constraints" sheetId="7" state="visible" r:id="rId7"/>
    <sheet xmlns:r="http://schemas.openxmlformats.org/officeDocument/2006/relationships" name="Research Papers" sheetId="8" state="visible" r:id="rId8"/>
  </sheets>
  <definedNames>
    <definedName name="_xlnm.Print_Area" localSheetId="0">'Dashboard'!$A$1:$H$32</definedName>
    <definedName name="_xlnm.Print_Area" localSheetId="1">'G1 - Foundation'!$A$1:$M$43</definedName>
    <definedName name="_xlnm.Print_Area" localSheetId="2">'G2 - Path A'!$A$1:$M$45</definedName>
    <definedName name="_xlnm.Print_Area" localSheetId="3">'G3 - Path B'!$A$1:$M$46</definedName>
    <definedName name="_xlnm.Print_Area" localSheetId="4">'G4 - Integration'!$A$1:$M$34</definedName>
    <definedName name="_xlnm.Print_Area" localSheetId="5">'Research'!$A$1:$M$45</definedName>
    <definedName name="_xlnm.Print_Area" localSheetId="6">'Constraints'!$A$1:$G$14</definedName>
    <definedName name="_xlnm._FilterDatabase" localSheetId="7" hidden="1">'Research Papers'!$A$4:$K$90</definedName>
    <definedName name="_xlnm.Print_Area" localSheetId="7">'Research Papers'!$A$1:$K$90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2"/>
    </font>
    <font>
      <name val="Calibri"/>
      <b val="1"/>
      <color rgb="00000000"/>
      <sz val="20"/>
    </font>
    <font>
      <name val="Calibri"/>
      <b val="1"/>
      <color rgb="00000000"/>
      <sz val="12"/>
    </font>
    <font>
      <name val="Calibri"/>
      <color rgb="00666666"/>
      <sz val="12"/>
    </font>
    <font>
      <name val="Calibri"/>
      <color rgb="00B45309"/>
      <sz val="12"/>
    </font>
    <font>
      <name val="Calibri"/>
      <color rgb="001E7B34"/>
      <sz val="12"/>
    </font>
    <font>
      <name val="Calibri"/>
      <color rgb="00842029"/>
      <sz val="12"/>
    </font>
    <font>
      <name val="Calibri"/>
      <color rgb="00000000"/>
      <sz val="12"/>
    </font>
    <font>
      <name val="Calibri"/>
      <b val="1"/>
      <color rgb="00B45309"/>
      <sz val="12"/>
    </font>
    <font>
      <name val="Calibri"/>
      <b val="1"/>
      <color rgb="00666666"/>
      <sz val="12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000000"/>
      <sz val="11"/>
    </font>
    <font>
      <name val="Calibri"/>
      <b val="1"/>
      <color rgb="001F3864"/>
      <sz val="14"/>
    </font>
    <font>
      <name val="Calibri"/>
      <b val="1"/>
      <color rgb="001B5E20"/>
      <sz val="14"/>
    </font>
    <font>
      <name val="Calibri"/>
      <b val="1"/>
      <color rgb="00E65100"/>
      <sz val="14"/>
    </font>
    <font>
      <name val="Calibri"/>
      <b val="1"/>
      <color rgb="004A148C"/>
      <sz val="14"/>
    </font>
    <font>
      <name val="Calibri"/>
      <b val="1"/>
      <color rgb="00006064"/>
      <sz val="14"/>
    </font>
    <font>
      <name val="Calibri"/>
      <i val="1"/>
      <color rgb="005C4B00"/>
      <sz val="12"/>
    </font>
    <font>
      <name val="Calibri"/>
      <b val="1"/>
      <i val="1"/>
      <color rgb="004527A0"/>
      <sz val="12"/>
    </font>
    <font>
      <name val="Calibri"/>
      <b val="1"/>
      <color rgb="00842029"/>
      <sz val="12"/>
    </font>
    <font>
      <name val="Calibri"/>
      <color rgb="001E5924"/>
      <sz val="12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sz val="9"/>
    </font>
    <font>
      <name val="Calibri"/>
      <color rgb="002E5FA3"/>
      <sz val="9"/>
      <u val="single"/>
    </font>
    <font>
      <name val="Calibri"/>
      <i val="1"/>
      <color rgb="00AAAAAA"/>
      <sz val="9"/>
    </font>
    <font>
      <name val="Calibri"/>
      <i val="1"/>
      <color rgb="00666666"/>
      <sz val="9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F0F0F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E1BEE7"/>
      </patternFill>
    </fill>
    <fill>
      <patternFill patternType="solid">
        <fgColor rgb="00E0F7FA"/>
      </patternFill>
    </fill>
    <fill>
      <patternFill patternType="solid">
        <fgColor rgb="00FFF9E6"/>
      </patternFill>
    </fill>
    <fill>
      <patternFill patternType="solid">
        <fgColor rgb="00EDE7F6"/>
      </patternFill>
    </fill>
    <fill>
      <patternFill patternType="solid">
        <fgColor rgb="00EAF4EA"/>
      </patternFill>
    </fill>
    <fill>
      <patternFill patternType="solid">
        <fgColor rgb="00FFFEF5"/>
      </patternFill>
    </fill>
    <fill>
      <patternFill patternType="solid">
        <fgColor rgb="00F0F8FF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2E5FA3"/>
      </left>
      <right style="thin">
        <color rgb="002E5FA3"/>
      </right>
      <top style="thin">
        <color rgb="002E5FA3"/>
      </top>
      <bottom style="thin">
        <color rgb="002E5FA3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17" fillId="12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20" fillId="1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5" fontId="3" fillId="3" borderId="1" applyAlignment="1" pivotButton="0" quotePrefix="0" xfId="0">
      <alignment horizontal="center" vertical="center" wrapText="1"/>
    </xf>
    <xf numFmtId="2" fontId="3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165" fontId="7" fillId="6" borderId="1" applyAlignment="1" pivotButton="0" quotePrefix="0" xfId="0">
      <alignment horizontal="center" vertical="center" wrapText="1"/>
    </xf>
    <xf numFmtId="2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2" fontId="10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2" fontId="10" fillId="5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left" vertical="center" wrapText="1"/>
    </xf>
    <xf numFmtId="165" fontId="21" fillId="16" borderId="1" applyAlignment="1" pivotButton="0" quotePrefix="0" xfId="0">
      <alignment horizontal="center" vertical="center" wrapText="1"/>
    </xf>
    <xf numFmtId="2" fontId="21" fillId="16" borderId="1" applyAlignment="1" pivotButton="0" quotePrefix="0" xfId="0">
      <alignment horizontal="center" vertical="center" wrapText="1"/>
    </xf>
    <xf numFmtId="0" fontId="22" fillId="17" borderId="1" applyAlignment="1" pivotButton="0" quotePrefix="0" xfId="0">
      <alignment horizontal="center" vertical="center" wrapText="1"/>
    </xf>
    <xf numFmtId="0" fontId="22" fillId="17" borderId="1" applyAlignment="1" pivotButton="0" quotePrefix="0" xfId="0">
      <alignment horizontal="left" vertical="center" wrapText="1"/>
    </xf>
    <xf numFmtId="165" fontId="22" fillId="17" borderId="1" applyAlignment="1" pivotButton="0" quotePrefix="0" xfId="0">
      <alignment horizontal="center" vertical="center" wrapText="1"/>
    </xf>
    <xf numFmtId="2" fontId="22" fillId="17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left" vertical="center" wrapText="1"/>
    </xf>
    <xf numFmtId="0" fontId="24" fillId="18" borderId="1" applyAlignment="1" pivotButton="0" quotePrefix="0" xfId="0">
      <alignment horizontal="center" vertical="center" wrapText="1"/>
    </xf>
    <xf numFmtId="0" fontId="24" fillId="18" borderId="1" applyAlignment="1" pivotButton="0" quotePrefix="0" xfId="0">
      <alignment horizontal="left" vertical="center" wrapText="1"/>
    </xf>
    <xf numFmtId="0" fontId="25" fillId="2" borderId="2" applyAlignment="1" pivotButton="0" quotePrefix="0" xfId="0">
      <alignment horizontal="center" vertical="center" wrapText="1"/>
    </xf>
    <xf numFmtId="0" fontId="26" fillId="3" borderId="3" applyAlignment="1" pivotButton="0" quotePrefix="0" xfId="0">
      <alignment horizontal="center" vertical="center" wrapText="1"/>
    </xf>
    <xf numFmtId="0" fontId="13" fillId="3" borderId="3" applyAlignment="1" pivotButton="0" quotePrefix="0" xfId="0">
      <alignment horizontal="center" vertical="center"/>
    </xf>
    <xf numFmtId="0" fontId="28" fillId="5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left" vertical="center" wrapText="1"/>
    </xf>
    <xf numFmtId="0" fontId="31" fillId="19" borderId="1" applyAlignment="1" pivotButton="0" quotePrefix="0" xfId="0">
      <alignment horizontal="left" vertical="center" wrapText="1"/>
    </xf>
    <xf numFmtId="0" fontId="28" fillId="4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left" vertical="center" wrapText="1"/>
    </xf>
    <xf numFmtId="0" fontId="27" fillId="4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left" vertical="center" wrapText="1"/>
    </xf>
    <xf numFmtId="0" fontId="31" fillId="20" borderId="1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Calibri"/>
        <b val="1"/>
        <color rgb="001E7B34"/>
        <sz val="12"/>
      </font>
      <fill>
        <patternFill patternType="solid">
          <fgColor rgb="00D4EDDA"/>
        </patternFill>
      </fill>
    </dxf>
    <dxf>
      <font>
        <name val="Calibri"/>
        <b val="1"/>
        <color rgb="00B45309"/>
        <sz val="12"/>
      </font>
      <fill>
        <patternFill patternType="solid">
          <fgColor rgb="00FFF3CD"/>
        </patternFill>
      </fill>
    </dxf>
    <dxf>
      <font>
        <name val="Calibri"/>
        <b val="1"/>
        <color rgb="00842029"/>
        <sz val="12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50" customHeight="1">
      <c r="A1" s="1" t="inlineStr">
        <is>
          <t>ZeroTrust.sh  ·  Executive Dashboard</t>
        </is>
      </c>
    </row>
    <row r="2" ht="22" customHeight="1">
      <c r="A2" s="2" t="inlineStr">
        <is>
          <t>Intern: Ton Minh Hoang  ·  VNG ZingPlay Studio  ·  Date range: 2026-06-11 to 2026-08-06</t>
        </is>
      </c>
    </row>
    <row r="3" ht="6" customHeight="1"/>
    <row r="4" ht="30" customHeight="1">
      <c r="A4" s="3" t="inlineStr">
        <is>
          <t>PROJECT KPIs</t>
        </is>
      </c>
    </row>
    <row r="5" ht="22" customHeight="1">
      <c r="A5" s="4" t="inlineStr">
        <is>
          <t>Total Tasks</t>
        </is>
      </c>
      <c r="B5" s="4" t="inlineStr">
        <is>
          <t>Completed</t>
        </is>
      </c>
      <c r="C5" s="4" t="inlineStr">
        <is>
          <t>In Progress</t>
        </is>
      </c>
      <c r="D5" s="4" t="inlineStr">
        <is>
          <t>Blocked</t>
        </is>
      </c>
      <c r="E5" s="4" t="inlineStr">
        <is>
          <t>Days to Deadline</t>
        </is>
      </c>
      <c r="F5" s="4" t="inlineStr">
        <is>
          <t>% Complete</t>
        </is>
      </c>
      <c r="G5" s="5" t="n"/>
    </row>
    <row r="6" ht="60" customHeight="1">
      <c r="A6" s="6">
        <f>COUNTIF('G1 - Foundation'!C:C,"TASK")+COUNTIF('G2 - Path A'!C:C,"TASK")+COUNTIF('G3 - Path B'!C:C,"TASK")+COUNTIF('G4 - Integration'!C:C,"TASK")+COUNTIF('Research'!C:C,"TASK")</f>
        <v/>
      </c>
      <c r="B6" s="6">
        <f>COUNTIFS('G1 - Foundation'!C:C,"TASK",'G1 - Foundation'!K:K,"Complete")+COUNTIFS('G2 - Path A'!C:C,"TASK",'G2 - Path A'!K:K,"Complete")+COUNTIFS('G3 - Path B'!C:C,"TASK",'G3 - Path B'!K:K,"Complete")+COUNTIFS('G4 - Integration'!C:C,"TASK",'G4 - Integration'!K:K,"Complete")+COUNTIFS('Research'!C:C,"TASK",'Research'!K:K,"Complete")</f>
        <v/>
      </c>
      <c r="C6" s="6">
        <f>COUNTIFS('G1 - Foundation'!C:C,"TASK",'G1 - Foundation'!K:K,"In Progress")+COUNTIFS('G2 - Path A'!C:C,"TASK",'G2 - Path A'!K:K,"In Progress")+COUNTIFS('G3 - Path B'!C:C,"TASK",'G3 - Path B'!K:K,"In Progress")+COUNTIFS('G4 - Integration'!C:C,"TASK",'G4 - Integration'!K:K,"In Progress")+COUNTIFS('Research'!C:C,"TASK",'Research'!K:K,"In Progress")</f>
        <v/>
      </c>
      <c r="D6" s="6">
        <f>COUNTIFS('G1 - Foundation'!C:C,"TASK",'G1 - Foundation'!K:K,"Blocked")+COUNTIFS('G2 - Path A'!C:C,"TASK",'G2 - Path A'!K:K,"Blocked")+COUNTIFS('G3 - Path B'!C:C,"TASK",'G3 - Path B'!K:K,"Blocked")+COUNTIFS('G4 - Integration'!C:C,"TASK",'G4 - Integration'!K:K,"Blocked")+COUNTIFS('Research'!C:C,"TASK",'Research'!K:K,"Blocked")</f>
        <v/>
      </c>
      <c r="E6" s="7">
        <f>DATE(2026,8,6)-TODAY()</f>
        <v/>
      </c>
      <c r="F6" s="8">
        <f>B6/A6</f>
        <v/>
      </c>
      <c r="G6" s="5" t="n"/>
    </row>
    <row r="7" ht="6" customHeight="1"/>
    <row r="8" ht="30" customHeight="1">
      <c r="A8" s="3" t="inlineStr">
        <is>
          <t>PROGRESS BY GOAL</t>
        </is>
      </c>
    </row>
    <row r="9" ht="22" customHeight="1">
      <c r="A9" s="4" t="inlineStr">
        <is>
          <t>Goal</t>
        </is>
      </c>
      <c r="B9" s="4" t="inlineStr">
        <is>
          <t>Not Started</t>
        </is>
      </c>
      <c r="C9" s="4" t="inlineStr">
        <is>
          <t>In Progress</t>
        </is>
      </c>
      <c r="D9" s="4" t="inlineStr">
        <is>
          <t>Complete</t>
        </is>
      </c>
      <c r="E9" s="4" t="inlineStr">
        <is>
          <t>Blocked</t>
        </is>
      </c>
      <c r="F9" s="4" t="inlineStr">
        <is>
          <t>Total Tasks</t>
        </is>
      </c>
      <c r="G9" s="4" t="inlineStr">
        <is>
          <t>% Done</t>
        </is>
      </c>
    </row>
    <row r="10" ht="30" customHeight="1">
      <c r="A10" s="9" t="inlineStr">
        <is>
          <t>G1 — Foundation &amp; Detection Scaffold</t>
        </is>
      </c>
      <c r="B10" s="10">
        <f>COUNTIFS('G1 - Foundation'!C:C,"TASK",'G1 - Foundation'!K:K,"Not Started")</f>
        <v/>
      </c>
      <c r="C10" s="11">
        <f>COUNTIFS('G1 - Foundation'!C:C,"TASK",'G1 - Foundation'!K:K,"In Progress")</f>
        <v/>
      </c>
      <c r="D10" s="12">
        <f>COUNTIFS('G1 - Foundation'!C:C,"TASK",'G1 - Foundation'!K:K,"Complete")</f>
        <v/>
      </c>
      <c r="E10" s="13">
        <f>COUNTIFS('G1 - Foundation'!C:C,"TASK",'G1 - Foundation'!K:K,"Blocked")</f>
        <v/>
      </c>
      <c r="F10" s="14">
        <f>COUNTIF('G1 - Foundation'!C:C,"TASK")</f>
        <v/>
      </c>
      <c r="G10" s="15">
        <f>D10/F10</f>
        <v/>
      </c>
    </row>
    <row r="11" ht="30" customHeight="1">
      <c r="A11" s="9" t="inlineStr">
        <is>
          <t>G2 — Path A: CPG + Taint + LLM Verifier</t>
        </is>
      </c>
      <c r="B11" s="10">
        <f>COUNTIFS('G2 - Path A'!C:C,"TASK",'G2 - Path A'!K:K,"Not Started")</f>
        <v/>
      </c>
      <c r="C11" s="11">
        <f>COUNTIFS('G2 - Path A'!C:C,"TASK",'G2 - Path A'!K:K,"In Progress")</f>
        <v/>
      </c>
      <c r="D11" s="12">
        <f>COUNTIFS('G2 - Path A'!C:C,"TASK",'G2 - Path A'!K:K,"Complete")</f>
        <v/>
      </c>
      <c r="E11" s="13">
        <f>COUNTIFS('G2 - Path A'!C:C,"TASK",'G2 - Path A'!K:K,"Blocked")</f>
        <v/>
      </c>
      <c r="F11" s="14">
        <f>COUNTIF('G2 - Path A'!C:C,"TASK")</f>
        <v/>
      </c>
      <c r="G11" s="15">
        <f>D11/F11</f>
        <v/>
      </c>
    </row>
    <row r="12" ht="30" customHeight="1">
      <c r="A12" s="9" t="inlineStr">
        <is>
          <t>G3 — Path B: Semantic Cost Funnel</t>
        </is>
      </c>
      <c r="B12" s="10">
        <f>COUNTIFS('G3 - Path B'!C:C,"TASK",'G3 - Path B'!K:K,"Not Started")</f>
        <v/>
      </c>
      <c r="C12" s="11">
        <f>COUNTIFS('G3 - Path B'!C:C,"TASK",'G3 - Path B'!K:K,"In Progress")</f>
        <v/>
      </c>
      <c r="D12" s="12">
        <f>COUNTIFS('G3 - Path B'!C:C,"TASK",'G3 - Path B'!K:K,"Complete")</f>
        <v/>
      </c>
      <c r="E12" s="13">
        <f>COUNTIFS('G3 - Path B'!C:C,"TASK",'G3 - Path B'!K:K,"Blocked")</f>
        <v/>
      </c>
      <c r="F12" s="14">
        <f>COUNTIF('G3 - Path B'!C:C,"TASK")</f>
        <v/>
      </c>
      <c r="G12" s="15">
        <f>D12/F12</f>
        <v/>
      </c>
    </row>
    <row r="13" ht="30" customHeight="1">
      <c r="A13" s="9" t="inlineStr">
        <is>
          <t>G4 — Integration, Report &amp; Demo</t>
        </is>
      </c>
      <c r="B13" s="10">
        <f>COUNTIFS('G4 - Integration'!C:C,"TASK",'G4 - Integration'!K:K,"Not Started")</f>
        <v/>
      </c>
      <c r="C13" s="11">
        <f>COUNTIFS('G4 - Integration'!C:C,"TASK",'G4 - Integration'!K:K,"In Progress")</f>
        <v/>
      </c>
      <c r="D13" s="12">
        <f>COUNTIFS('G4 - Integration'!C:C,"TASK",'G4 - Integration'!K:K,"Complete")</f>
        <v/>
      </c>
      <c r="E13" s="13">
        <f>COUNTIFS('G4 - Integration'!C:C,"TASK",'G4 - Integration'!K:K,"Blocked")</f>
        <v/>
      </c>
      <c r="F13" s="14">
        <f>COUNTIF('G4 - Integration'!C:C,"TASK")</f>
        <v/>
      </c>
      <c r="G13" s="15">
        <f>D13/F13</f>
        <v/>
      </c>
    </row>
    <row r="14" ht="30" customHeight="1">
      <c r="A14" s="9" t="inlineStr">
        <is>
          <t>Scientific Research</t>
        </is>
      </c>
      <c r="B14" s="10">
        <f>COUNTIFS('Research'!C:C,"TASK",'Research'!K:K,"Not Started")</f>
        <v/>
      </c>
      <c r="C14" s="11">
        <f>COUNTIFS('Research'!C:C,"TASK",'Research'!K:K,"In Progress")</f>
        <v/>
      </c>
      <c r="D14" s="12">
        <f>COUNTIFS('Research'!C:C,"TASK",'Research'!K:K,"Complete")</f>
        <v/>
      </c>
      <c r="E14" s="13">
        <f>COUNTIFS('Research'!C:C,"TASK",'Research'!K:K,"Blocked")</f>
        <v/>
      </c>
      <c r="F14" s="14">
        <f>COUNTIF('Research'!C:C,"TASK")</f>
        <v/>
      </c>
      <c r="G14" s="15">
        <f>D14/F14</f>
        <v/>
      </c>
    </row>
    <row r="15" ht="30" customHeight="1">
      <c r="A15" s="16" t="inlineStr">
        <is>
          <t>TOTAL</t>
        </is>
      </c>
      <c r="B15" s="17">
        <f>SUM(B10:B14)</f>
        <v/>
      </c>
      <c r="C15" s="17">
        <f>SUM(C10:C14)</f>
        <v/>
      </c>
      <c r="D15" s="17">
        <f>SUM(D10:D14)</f>
        <v/>
      </c>
      <c r="E15" s="17">
        <f>SUM(E10:E14)</f>
        <v/>
      </c>
      <c r="F15" s="17">
        <f>SUM(F10:F14)</f>
        <v/>
      </c>
      <c r="G15" s="18">
        <f>D15/F15</f>
        <v/>
      </c>
    </row>
    <row r="16" ht="6" customHeight="1"/>
    <row r="17" ht="30" customHeight="1">
      <c r="A17" s="3" t="inlineStr">
        <is>
          <t>UPCOMING MILESTONES (next 7 days)</t>
        </is>
      </c>
    </row>
    <row r="18" ht="22" customHeight="1">
      <c r="A18" s="4" t="inlineStr">
        <is>
          <t>Goal</t>
        </is>
      </c>
      <c r="B18" s="4" t="inlineStr">
        <is>
          <t>Milestone ID</t>
        </is>
      </c>
      <c r="C18" s="4" t="inlineStr">
        <is>
          <t>Milestone Name</t>
        </is>
      </c>
      <c r="D18" s="4" t="inlineStr">
        <is>
          <t>Due Date</t>
        </is>
      </c>
      <c r="E18" s="4" t="inlineStr">
        <is>
          <t>Status</t>
        </is>
      </c>
      <c r="F18" s="4" t="n"/>
      <c r="G18" s="4" t="n"/>
    </row>
    <row r="19" ht="30" customHeight="1">
      <c r="A19" s="19" t="inlineStr">
        <is>
          <t>G1</t>
        </is>
      </c>
      <c r="B19" s="19" t="inlineStr">
        <is>
          <t>1.M1</t>
        </is>
      </c>
      <c r="C19" s="20" t="inlineStr">
        <is>
          <t>Semgrep + ast-grep Rule Suite</t>
        </is>
      </c>
      <c r="D19" s="19" t="inlineStr">
        <is>
          <t>2026-06-16</t>
        </is>
      </c>
      <c r="E19" s="21" t="inlineStr">
        <is>
          <t>In Progress</t>
        </is>
      </c>
      <c r="F19" s="5" t="n"/>
      <c r="G19" s="5" t="n"/>
    </row>
    <row r="20" ht="30" customHeight="1">
      <c r="A20" s="22" t="inlineStr">
        <is>
          <t>G1</t>
        </is>
      </c>
      <c r="B20" s="22" t="inlineStr">
        <is>
          <t>1.M2</t>
        </is>
      </c>
      <c r="C20" s="23" t="inlineStr">
        <is>
          <t>Go CLI Core</t>
        </is>
      </c>
      <c r="D20" s="22" t="inlineStr">
        <is>
          <t>2026-06-20</t>
        </is>
      </c>
      <c r="E20" s="24" t="inlineStr">
        <is>
          <t>Not Started</t>
        </is>
      </c>
      <c r="F20" s="5" t="n"/>
      <c r="G20" s="5" t="n"/>
    </row>
    <row r="21" ht="30" customHeight="1">
      <c r="A21" s="19" t="inlineStr">
        <is>
          <t>G1</t>
        </is>
      </c>
      <c r="B21" s="19" t="inlineStr">
        <is>
          <t>1.M3</t>
        </is>
      </c>
      <c r="C21" s="20" t="inlineStr">
        <is>
          <t>Ingestion Layer — MIV + Differential Indexer</t>
        </is>
      </c>
      <c r="D21" s="19" t="inlineStr">
        <is>
          <t>2026-06-25</t>
        </is>
      </c>
      <c r="E21" s="24" t="inlineStr">
        <is>
          <t>Not Started</t>
        </is>
      </c>
      <c r="F21" s="5" t="n"/>
      <c r="G21" s="5" t="n"/>
    </row>
    <row r="22" ht="30" customHeight="1">
      <c r="A22" s="22" t="inlineStr">
        <is>
          <t>Research</t>
        </is>
      </c>
      <c r="B22" s="22" t="inlineStr">
        <is>
          <t>R.M1</t>
        </is>
      </c>
      <c r="C22" s="23" t="inlineStr">
        <is>
          <t>Literature Foundation</t>
        </is>
      </c>
      <c r="D22" s="22" t="inlineStr">
        <is>
          <t>2026-06-20</t>
        </is>
      </c>
      <c r="E22" s="21" t="inlineStr">
        <is>
          <t>In Progress</t>
        </is>
      </c>
      <c r="F22" s="5" t="n"/>
      <c r="G22" s="5" t="n"/>
    </row>
    <row r="23" ht="30" customHeight="1">
      <c r="A23" s="19" t="inlineStr">
        <is>
          <t>G1</t>
        </is>
      </c>
      <c r="B23" s="19" t="inlineStr">
        <is>
          <t>1.M4</t>
        </is>
      </c>
      <c r="C23" s="20" t="inlineStr">
        <is>
          <t>Canonical Finding Schema + CLI Output</t>
        </is>
      </c>
      <c r="D23" s="19" t="inlineStr">
        <is>
          <t>2026-06-27</t>
        </is>
      </c>
      <c r="E23" s="24" t="inlineStr">
        <is>
          <t>Not Started</t>
        </is>
      </c>
      <c r="F23" s="5" t="n"/>
      <c r="G23" s="5" t="n"/>
    </row>
    <row r="24" ht="6" customHeight="1"/>
    <row r="25" ht="30" customHeight="1">
      <c r="A25" s="3" t="inlineStr">
        <is>
          <t>INTERNSHIP TIMELINE</t>
        </is>
      </c>
    </row>
    <row r="26" ht="36" customHeight="1">
      <c r="A26" s="25" t="inlineStr">
        <is>
          <t>Goal</t>
        </is>
      </c>
      <c r="B26" s="26" t="inlineStr">
        <is>
          <t>Jun W3
Jun 16–22</t>
        </is>
      </c>
      <c r="C26" s="26" t="inlineStr">
        <is>
          <t>Jun W4
Jun 23–29</t>
        </is>
      </c>
      <c r="D26" s="26" t="inlineStr">
        <is>
          <t>Jul W1
Jun 30–Jul 6</t>
        </is>
      </c>
      <c r="E26" s="26" t="inlineStr">
        <is>
          <t>Jul W2
Jul 7–13</t>
        </is>
      </c>
      <c r="F26" s="26" t="inlineStr">
        <is>
          <t>Jul W3
Jul 14–20</t>
        </is>
      </c>
      <c r="G26" s="26" t="inlineStr">
        <is>
          <t>Jul W4
Jul 21–27</t>
        </is>
      </c>
      <c r="H26" s="26" t="inlineStr">
        <is>
          <t>Aug W1
Jul 28–Aug 6</t>
        </is>
      </c>
    </row>
    <row r="27" ht="28" customHeight="1">
      <c r="A27" s="27" t="inlineStr">
        <is>
          <t>G1 — Foundation</t>
        </is>
      </c>
      <c r="B27" s="28" t="inlineStr">
        <is>
          <t>▓</t>
        </is>
      </c>
      <c r="C27" s="28" t="inlineStr">
        <is>
          <t>▓</t>
        </is>
      </c>
      <c r="D27" s="29" t="n"/>
      <c r="E27" s="29" t="n"/>
      <c r="F27" s="29" t="n"/>
      <c r="G27" s="29" t="n"/>
      <c r="H27" s="29" t="n"/>
    </row>
    <row r="28" ht="28" customHeight="1">
      <c r="A28" s="27" t="inlineStr">
        <is>
          <t>G2 — Path A</t>
        </is>
      </c>
      <c r="B28" s="29" t="n"/>
      <c r="C28" s="29" t="n"/>
      <c r="D28" s="30" t="inlineStr">
        <is>
          <t>▓</t>
        </is>
      </c>
      <c r="E28" s="30" t="inlineStr">
        <is>
          <t>▓</t>
        </is>
      </c>
      <c r="F28" s="30" t="inlineStr">
        <is>
          <t>▓</t>
        </is>
      </c>
      <c r="G28" s="29" t="n"/>
      <c r="H28" s="29" t="n"/>
    </row>
    <row r="29" ht="28" customHeight="1">
      <c r="A29" s="27" t="inlineStr">
        <is>
          <t>G3 — Path B</t>
        </is>
      </c>
      <c r="B29" s="29" t="n"/>
      <c r="C29" s="29" t="n"/>
      <c r="D29" s="29" t="n"/>
      <c r="E29" s="29" t="n"/>
      <c r="F29" s="29" t="n"/>
      <c r="G29" s="31" t="inlineStr">
        <is>
          <t>▓</t>
        </is>
      </c>
      <c r="H29" s="31" t="inlineStr">
        <is>
          <t>▓</t>
        </is>
      </c>
    </row>
    <row r="30" ht="28" customHeight="1">
      <c r="A30" s="27" t="inlineStr">
        <is>
          <t>G4 — Integration</t>
        </is>
      </c>
      <c r="B30" s="29" t="n"/>
      <c r="C30" s="29" t="n"/>
      <c r="D30" s="29" t="n"/>
      <c r="E30" s="29" t="n"/>
      <c r="F30" s="29" t="n"/>
      <c r="G30" s="29" t="n"/>
      <c r="H30" s="32" t="inlineStr">
        <is>
          <t>▓</t>
        </is>
      </c>
    </row>
    <row r="31" ht="28" customHeight="1">
      <c r="A31" s="27" t="inlineStr">
        <is>
          <t>Research (all goals)</t>
        </is>
      </c>
      <c r="B31" s="33" t="inlineStr">
        <is>
          <t>▓</t>
        </is>
      </c>
      <c r="C31" s="33" t="inlineStr">
        <is>
          <t>▓</t>
        </is>
      </c>
      <c r="D31" s="33" t="inlineStr">
        <is>
          <t>▓</t>
        </is>
      </c>
      <c r="E31" s="33" t="inlineStr">
        <is>
          <t>▓</t>
        </is>
      </c>
      <c r="F31" s="33" t="inlineStr">
        <is>
          <t>▓</t>
        </is>
      </c>
      <c r="G31" s="33" t="inlineStr">
        <is>
          <t>▓</t>
        </is>
      </c>
      <c r="H31" s="33" t="inlineStr">
        <is>
          <t>▓</t>
        </is>
      </c>
    </row>
  </sheetData>
  <mergeCells count="6">
    <mergeCell ref="A1:G1"/>
    <mergeCell ref="A17:G17"/>
    <mergeCell ref="A8:G8"/>
    <mergeCell ref="A25:H25"/>
    <mergeCell ref="A4:G4"/>
    <mergeCell ref="A2:G2"/>
  </mergeCells>
  <conditionalFormatting sqref="G10:G15">
    <cfRule type="cellIs" priority="1" operator="greaterThanOrEqual" dxfId="0" stopIfTrue="1">
      <formula>0.8</formula>
    </cfRule>
    <cfRule type="cellIs" priority="2" operator="between" dxfId="1" stopIfTrue="1">
      <formula>0.4</formula>
      <formula>0.79</formula>
    </cfRule>
    <cfRule type="cellIs" priority="3" operator="lessThan" dxfId="2" stopIfTrue="1">
      <formula>0.4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7" customWidth="1" min="11" max="11"/>
    <col width="10" customWidth="1" min="12" max="12"/>
    <col width="38" customWidth="1" min="13" max="13"/>
  </cols>
  <sheetData>
    <row r="1" ht="50" customHeight="1">
      <c r="A1" s="1" t="inlineStr">
        <is>
          <t>ZeroTrust.sh  ·  G1 — Foundation &amp; Detection Scaffold</t>
        </is>
      </c>
    </row>
    <row r="2" ht="22" customHeight="1">
      <c r="A2" s="2" t="inlineStr">
        <is>
          <t>Intern: Ton Minh Hoang  ·  VNG ZingPlay Studio  ·  Goal: Rule suite + Go CLI + Ingestion layer + Finding schema  ·  Deadline: 2026-06-27</t>
        </is>
      </c>
    </row>
    <row r="3" ht="6" customHeight="1"/>
    <row r="4" ht="50" customHeight="1">
      <c r="A4" s="4" t="inlineStr">
        <is>
          <t>ID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Start Date</t>
        </is>
      </c>
      <c r="E4" s="4" t="inlineStr">
        <is>
          <t>End Date</t>
        </is>
      </c>
      <c r="F4" s="4" t="inlineStr">
        <is>
          <t>PERT O (h)</t>
        </is>
      </c>
      <c r="G4" s="4" t="inlineStr">
        <is>
          <t>PERT ML (h)</t>
        </is>
      </c>
      <c r="H4" s="4" t="inlineStr">
        <is>
          <t>PERT P (h)</t>
        </is>
      </c>
      <c r="I4" s="4" t="inlineStr">
        <is>
          <t>PERT E (h)</t>
        </is>
      </c>
      <c r="J4" s="4" t="inlineStr">
        <is>
          <t>Actual Hrs</t>
        </is>
      </c>
      <c r="K4" s="4" t="inlineStr">
        <is>
          <t>Status</t>
        </is>
      </c>
      <c r="L4" s="4" t="inlineStr">
        <is>
          <t>Owner</t>
        </is>
      </c>
      <c r="M4" s="4" t="inlineStr">
        <is>
          <t>Notes</t>
        </is>
      </c>
    </row>
    <row r="5" ht="40" customHeight="1">
      <c r="A5" s="4" t="inlineStr">
        <is>
          <t>1.M1</t>
        </is>
      </c>
      <c r="B5" s="34" t="inlineStr">
        <is>
          <t>Semgrep + ast-grep Rule Suite</t>
        </is>
      </c>
      <c r="C5" s="4" t="inlineStr">
        <is>
          <t>MILESTONE</t>
        </is>
      </c>
      <c r="D5" s="4" t="inlineStr">
        <is>
          <t>2026-06-11</t>
        </is>
      </c>
      <c r="E5" s="4" t="inlineStr">
        <is>
          <t>2026-06-16</t>
        </is>
      </c>
      <c r="F5" s="35" t="n">
        <v>14</v>
      </c>
      <c r="G5" s="35" t="n">
        <v>20</v>
      </c>
      <c r="H5" s="35" t="n">
        <v>30</v>
      </c>
      <c r="I5" s="36" t="n">
        <v>20.7</v>
      </c>
      <c r="J5" s="4" t="inlineStr"/>
      <c r="K5" s="4" t="inlineStr">
        <is>
          <t>In Progress</t>
        </is>
      </c>
      <c r="L5" s="4" t="inlineStr"/>
      <c r="M5" s="34" t="inlineStr">
        <is>
          <t>Python rules in progress (per CLAUDE.md); Java rules not yet started</t>
        </is>
      </c>
    </row>
    <row r="6" ht="45" customHeight="1">
      <c r="A6" s="21" t="inlineStr">
        <is>
          <t>1.M1.T1</t>
        </is>
      </c>
      <c r="B6" s="37" t="inlineStr">
        <is>
          <t xml:space="preserve">    Build synthetic vulnerable test codebase (Python + Java)</t>
        </is>
      </c>
      <c r="C6" s="11" t="inlineStr">
        <is>
          <t>TASK</t>
        </is>
      </c>
      <c r="D6" s="11" t="inlineStr"/>
      <c r="E6" s="11" t="inlineStr"/>
      <c r="F6" s="38" t="n"/>
      <c r="G6" s="38" t="n"/>
      <c r="H6" s="38" t="n"/>
      <c r="I6" s="39" t="n">
        <v>3</v>
      </c>
      <c r="J6" s="11" t="inlineStr"/>
      <c r="K6" s="21" t="inlineStr">
        <is>
          <t>In Progress</t>
        </is>
      </c>
      <c r="L6" s="11" t="inlineStr">
        <is>
          <t>Hoang</t>
        </is>
      </c>
      <c r="M6" s="37" t="inlineStr">
        <is>
          <t>Must exist before rules can be validated; trigger every rule class</t>
        </is>
      </c>
    </row>
    <row r="7" ht="45" customHeight="1">
      <c r="A7" s="21" t="inlineStr">
        <is>
          <t>1.M1.T2</t>
        </is>
      </c>
      <c r="B7" s="37" t="inlineStr">
        <is>
          <t xml:space="preserve">    Semgrep rules — LLM prompt injection patterns</t>
        </is>
      </c>
      <c r="C7" s="11" t="inlineStr">
        <is>
          <t>TASK</t>
        </is>
      </c>
      <c r="D7" s="11" t="inlineStr"/>
      <c r="E7" s="11" t="inlineStr"/>
      <c r="F7" s="38" t="n"/>
      <c r="G7" s="38" t="n"/>
      <c r="H7" s="38" t="n"/>
      <c r="I7" s="39" t="n">
        <v>2</v>
      </c>
      <c r="J7" s="11" t="inlineStr"/>
      <c r="K7" s="21" t="inlineStr">
        <is>
          <t>In Progress</t>
        </is>
      </c>
      <c r="L7" s="11" t="inlineStr">
        <is>
          <t>Hoang</t>
        </is>
      </c>
      <c r="M7" s="37" t="inlineStr">
        <is>
          <t>Python rules in progress; cover direct + indirect injection</t>
        </is>
      </c>
    </row>
    <row r="8" ht="45" customHeight="1">
      <c r="A8" s="40" t="inlineStr">
        <is>
          <t>1.M1.T3</t>
        </is>
      </c>
      <c r="B8" s="23" t="inlineStr">
        <is>
          <t xml:space="preserve">    Semgrep rules — security-control bypass comments</t>
        </is>
      </c>
      <c r="C8" s="22" t="inlineStr">
        <is>
          <t>TASK</t>
        </is>
      </c>
      <c r="D8" s="22" t="inlineStr"/>
      <c r="E8" s="22" t="inlineStr"/>
      <c r="F8" s="41" t="n"/>
      <c r="G8" s="41" t="n"/>
      <c r="H8" s="41" t="n"/>
      <c r="I8" s="42" t="n">
        <v>1.5</v>
      </c>
      <c r="J8" s="22" t="inlineStr"/>
      <c r="K8" s="10" t="inlineStr">
        <is>
          <t>Not Started</t>
        </is>
      </c>
      <c r="L8" s="22" t="inlineStr">
        <is>
          <t>Hoang</t>
        </is>
      </c>
      <c r="M8" s="23" t="inlineStr">
        <is>
          <t>e.g. # nosec, // nolint, AI-inserted disable comments</t>
        </is>
      </c>
    </row>
    <row r="9" ht="45" customHeight="1">
      <c r="A9" s="43" t="inlineStr">
        <is>
          <t>1.M1.T4</t>
        </is>
      </c>
      <c r="B9" s="20" t="inlineStr">
        <is>
          <t xml:space="preserve">    Semgrep rules — hardcoded AI API keys</t>
        </is>
      </c>
      <c r="C9" s="19" t="inlineStr">
        <is>
          <t>TASK</t>
        </is>
      </c>
      <c r="D9" s="19" t="inlineStr"/>
      <c r="E9" s="19" t="inlineStr"/>
      <c r="F9" s="44" t="n"/>
      <c r="G9" s="44" t="n"/>
      <c r="H9" s="44" t="n"/>
      <c r="I9" s="45" t="n">
        <v>1.5</v>
      </c>
      <c r="J9" s="19" t="inlineStr"/>
      <c r="K9" s="10" t="inlineStr">
        <is>
          <t>Not Started</t>
        </is>
      </c>
      <c r="L9" s="19" t="inlineStr">
        <is>
          <t>Hoang</t>
        </is>
      </c>
      <c r="M9" s="20" t="inlineStr">
        <is>
          <t>OpenAI, Anthropic, Cohere, HuggingFace key patterns</t>
        </is>
      </c>
    </row>
    <row r="10" ht="45" customHeight="1">
      <c r="A10" s="40" t="inlineStr">
        <is>
          <t>1.M1.T5</t>
        </is>
      </c>
      <c r="B10" s="23" t="inlineStr">
        <is>
          <t xml:space="preserve">    Semgrep rules — MCP server config injection (.mcp.json)</t>
        </is>
      </c>
      <c r="C10" s="22" t="inlineStr">
        <is>
          <t>TASK</t>
        </is>
      </c>
      <c r="D10" s="22" t="inlineStr"/>
      <c r="E10" s="22" t="inlineStr"/>
      <c r="F10" s="41" t="n"/>
      <c r="G10" s="41" t="n"/>
      <c r="H10" s="41" t="n"/>
      <c r="I10" s="42" t="n">
        <v>2</v>
      </c>
      <c r="J10" s="22" t="inlineStr"/>
      <c r="K10" s="10" t="inlineStr">
        <is>
          <t>Not Started</t>
        </is>
      </c>
      <c r="L10" s="22" t="inlineStr">
        <is>
          <t>Hoang</t>
        </is>
      </c>
      <c r="M10" s="23" t="inlineStr">
        <is>
          <t>Novel surface; no community rules exist; highest-priority unique claim</t>
        </is>
      </c>
    </row>
    <row r="11" ht="45" customHeight="1">
      <c r="A11" s="43" t="inlineStr">
        <is>
          <t>1.M1.T6</t>
        </is>
      </c>
      <c r="B11" s="20" t="inlineStr">
        <is>
          <t xml:space="preserve">    Semgrep rules — agent instruction file injection (.cursor/rules, AGENTS.md, CLAUDE.md, GEMINI.md, copilot-instructions.md)</t>
        </is>
      </c>
      <c r="C11" s="19" t="inlineStr">
        <is>
          <t>TASK</t>
        </is>
      </c>
      <c r="D11" s="19" t="inlineStr"/>
      <c r="E11" s="19" t="inlineStr"/>
      <c r="F11" s="44" t="n"/>
      <c r="G11" s="44" t="n"/>
      <c r="H11" s="44" t="n"/>
      <c r="I11" s="45" t="n">
        <v>2.5</v>
      </c>
      <c r="J11" s="19" t="inlineStr"/>
      <c r="K11" s="10" t="inlineStr">
        <is>
          <t>Not Started</t>
        </is>
      </c>
      <c r="L11" s="19" t="inlineStr">
        <is>
          <t>Hoang</t>
        </is>
      </c>
      <c r="M11" s="20" t="inlineStr">
        <is>
          <t>First tool to cover this vector; key demo talking point</t>
        </is>
      </c>
    </row>
    <row r="12" ht="45" customHeight="1">
      <c r="A12" s="40" t="inlineStr">
        <is>
          <t>1.M1.T7</t>
        </is>
      </c>
      <c r="B12" s="23" t="inlineStr">
        <is>
          <t xml:space="preserve">    ast-grep structural matching rules (languages with weak Semgrep community packs)</t>
        </is>
      </c>
      <c r="C12" s="22" t="inlineStr">
        <is>
          <t>TASK</t>
        </is>
      </c>
      <c r="D12" s="22" t="inlineStr"/>
      <c r="E12" s="22" t="inlineStr"/>
      <c r="F12" s="41" t="n"/>
      <c r="G12" s="41" t="n"/>
      <c r="H12" s="41" t="n"/>
      <c r="I12" s="42" t="n">
        <v>3</v>
      </c>
      <c r="J12" s="22" t="inlineStr"/>
      <c r="K12" s="10" t="inlineStr">
        <is>
          <t>Not Started</t>
        </is>
      </c>
      <c r="L12" s="22" t="inlineStr">
        <is>
          <t>Hoang</t>
        </is>
      </c>
      <c r="M12" s="23" t="inlineStr">
        <is>
          <t>YAML rule format; target Rust, Kotlin, C# gaps in Semgrep OSS packs</t>
        </is>
      </c>
    </row>
    <row r="13" ht="45" customHeight="1">
      <c r="A13" s="43" t="inlineStr">
        <is>
          <t>1.M1.T8</t>
        </is>
      </c>
      <c r="B13" s="20" t="inlineStr">
        <is>
          <t xml:space="preserve">    Rule validation + false-positive audit against test codebase</t>
        </is>
      </c>
      <c r="C13" s="19" t="inlineStr">
        <is>
          <t>TASK</t>
        </is>
      </c>
      <c r="D13" s="19" t="inlineStr"/>
      <c r="E13" s="19" t="inlineStr"/>
      <c r="F13" s="44" t="n"/>
      <c r="G13" s="44" t="n"/>
      <c r="H13" s="44" t="n"/>
      <c r="I13" s="45" t="n">
        <v>3</v>
      </c>
      <c r="J13" s="19" t="inlineStr"/>
      <c r="K13" s="10" t="inlineStr">
        <is>
          <t>Not Started</t>
        </is>
      </c>
      <c r="L13" s="19" t="inlineStr">
        <is>
          <t>Hoang</t>
        </is>
      </c>
      <c r="M13" s="20" t="inlineStr">
        <is>
          <t>Each rule must fire on &gt;= 1 test case; zero FPs on a clean-code control</t>
        </is>
      </c>
    </row>
    <row r="14" ht="45" customHeight="1">
      <c r="A14" s="40" t="inlineStr">
        <is>
          <t>1.M1.T9</t>
        </is>
      </c>
      <c r="B14" s="23" t="inlineStr">
        <is>
          <t xml:space="preserve">    CI-runnable test harness</t>
        </is>
      </c>
      <c r="C14" s="22" t="inlineStr">
        <is>
          <t>TASK</t>
        </is>
      </c>
      <c r="D14" s="22" t="inlineStr"/>
      <c r="E14" s="22" t="inlineStr"/>
      <c r="F14" s="41" t="n"/>
      <c r="G14" s="41" t="n"/>
      <c r="H14" s="41" t="n"/>
      <c r="I14" s="42" t="n">
        <v>2.2</v>
      </c>
      <c r="J14" s="22" t="inlineStr"/>
      <c r="K14" s="10" t="inlineStr">
        <is>
          <t>Not Started</t>
        </is>
      </c>
      <c r="L14" s="22" t="inlineStr">
        <is>
          <t>Hoang</t>
        </is>
      </c>
      <c r="M14" s="23" t="inlineStr">
        <is>
          <t>Makefile or shell script; pass/fail output per rule class; runs in &lt; 60s</t>
        </is>
      </c>
    </row>
    <row r="15" ht="5" customHeight="1"/>
    <row r="16" ht="40" customHeight="1">
      <c r="A16" s="4" t="inlineStr">
        <is>
          <t>1.M2</t>
        </is>
      </c>
      <c r="B16" s="34" t="inlineStr">
        <is>
          <t>Go CLI Core</t>
        </is>
      </c>
      <c r="C16" s="4" t="inlineStr">
        <is>
          <t>MILESTONE</t>
        </is>
      </c>
      <c r="D16" s="4" t="inlineStr">
        <is>
          <t>2026-06-16</t>
        </is>
      </c>
      <c r="E16" s="4" t="inlineStr">
        <is>
          <t>2026-06-20</t>
        </is>
      </c>
      <c r="F16" s="35" t="n">
        <v>12</v>
      </c>
      <c r="G16" s="35" t="n">
        <v>18</v>
      </c>
      <c r="H16" s="35" t="n">
        <v>26</v>
      </c>
      <c r="I16" s="36" t="n">
        <v>18.3</v>
      </c>
      <c r="J16" s="4" t="inlineStr"/>
      <c r="K16" s="4" t="inlineStr">
        <is>
          <t>Not Started</t>
        </is>
      </c>
      <c r="L16" s="4" t="inlineStr"/>
      <c r="M16" s="34" t="inlineStr">
        <is>
          <t>Claude Code compresses ML est. ~35%; single binary from day one</t>
        </is>
      </c>
    </row>
    <row r="17" ht="45" customHeight="1">
      <c r="A17" s="43" t="inlineStr">
        <is>
          <t>1.M2.T1</t>
        </is>
      </c>
      <c r="B17" s="20" t="inlineStr">
        <is>
          <t xml:space="preserve">    Go module init + project directory structure</t>
        </is>
      </c>
      <c r="C17" s="19" t="inlineStr">
        <is>
          <t>TASK</t>
        </is>
      </c>
      <c r="D17" s="19" t="inlineStr"/>
      <c r="E17" s="19" t="inlineStr"/>
      <c r="F17" s="44" t="n"/>
      <c r="G17" s="44" t="n"/>
      <c r="H17" s="44" t="n"/>
      <c r="I17" s="45" t="n">
        <v>1</v>
      </c>
      <c r="J17" s="19" t="inlineStr"/>
      <c r="K17" s="10" t="inlineStr">
        <is>
          <t>Not Started</t>
        </is>
      </c>
      <c r="L17" s="19" t="inlineStr">
        <is>
          <t>Hoang</t>
        </is>
      </c>
      <c r="M17" s="20" t="inlineStr">
        <is>
          <t>Go 1.22+; cmd/, internal/, pkg/ layout; add .gitignore</t>
        </is>
      </c>
    </row>
    <row r="18" ht="45" customHeight="1">
      <c r="A18" s="40" t="inlineStr">
        <is>
          <t>1.M2.T2</t>
        </is>
      </c>
      <c r="B18" s="23" t="inlineStr">
        <is>
          <t xml:space="preserve">    CLI argument parsing + TOML config schema</t>
        </is>
      </c>
      <c r="C18" s="22" t="inlineStr">
        <is>
          <t>TASK</t>
        </is>
      </c>
      <c r="D18" s="22" t="inlineStr"/>
      <c r="E18" s="22" t="inlineStr"/>
      <c r="F18" s="41" t="n"/>
      <c r="G18" s="41" t="n"/>
      <c r="H18" s="41" t="n"/>
      <c r="I18" s="42" t="n">
        <v>3</v>
      </c>
      <c r="J18" s="22" t="inlineStr"/>
      <c r="K18" s="10" t="inlineStr">
        <is>
          <t>Not Started</t>
        </is>
      </c>
      <c r="L18" s="22" t="inlineStr">
        <is>
          <t>Hoang</t>
        </is>
      </c>
      <c r="M18" s="23" t="inlineStr">
        <is>
          <t>cobra + viper (or stdlib flag); config fields: model-path, output-dir, scan-target, log-level</t>
        </is>
      </c>
    </row>
    <row r="19" ht="45" customHeight="1">
      <c r="A19" s="43" t="inlineStr">
        <is>
          <t>1.M2.T3</t>
        </is>
      </c>
      <c r="B19" s="20" t="inlineStr">
        <is>
          <t xml:space="preserve">    Directory walk + file-type detection (language routing table)</t>
        </is>
      </c>
      <c r="C19" s="19" t="inlineStr">
        <is>
          <t>TASK</t>
        </is>
      </c>
      <c r="D19" s="19" t="inlineStr"/>
      <c r="E19" s="19" t="inlineStr"/>
      <c r="F19" s="44" t="n"/>
      <c r="G19" s="44" t="n"/>
      <c r="H19" s="44" t="n"/>
      <c r="I19" s="45" t="n">
        <v>3</v>
      </c>
      <c r="J19" s="19" t="inlineStr"/>
      <c r="K19" s="10" t="inlineStr">
        <is>
          <t>Not Started</t>
        </is>
      </c>
      <c r="L19" s="19" t="inlineStr">
        <is>
          <t>Hoang</t>
        </is>
      </c>
      <c r="M19" s="20" t="inlineStr">
        <is>
          <t>filepath.WalkDir; extension -&gt; language enum map; respect .gitignore</t>
        </is>
      </c>
    </row>
    <row r="20" ht="45" customHeight="1">
      <c r="A20" s="40" t="inlineStr">
        <is>
          <t>1.M2.T4</t>
        </is>
      </c>
      <c r="B20" s="23" t="inlineStr">
        <is>
          <t xml:space="preserve">    ZIP archive extract + ingestion path</t>
        </is>
      </c>
      <c r="C20" s="22" t="inlineStr">
        <is>
          <t>TASK</t>
        </is>
      </c>
      <c r="D20" s="22" t="inlineStr"/>
      <c r="E20" s="22" t="inlineStr"/>
      <c r="F20" s="41" t="n"/>
      <c r="G20" s="41" t="n"/>
      <c r="H20" s="41" t="n"/>
      <c r="I20" s="42" t="n">
        <v>2</v>
      </c>
      <c r="J20" s="22" t="inlineStr"/>
      <c r="K20" s="10" t="inlineStr">
        <is>
          <t>Not Started</t>
        </is>
      </c>
      <c r="L20" s="22" t="inlineStr">
        <is>
          <t>Hoang</t>
        </is>
      </c>
      <c r="M20" s="23" t="inlineStr">
        <is>
          <t>archive/zip; extract to OS temp dir; cleanup on exit (defer)</t>
        </is>
      </c>
    </row>
    <row r="21" ht="45" customHeight="1">
      <c r="A21" s="43" t="inlineStr">
        <is>
          <t>1.M2.T5</t>
        </is>
      </c>
      <c r="B21" s="20" t="inlineStr">
        <is>
          <t xml:space="preserve">    Pluggable Finding channel interface definition</t>
        </is>
      </c>
      <c r="C21" s="19" t="inlineStr">
        <is>
          <t>TASK</t>
        </is>
      </c>
      <c r="D21" s="19" t="inlineStr"/>
      <c r="E21" s="19" t="inlineStr"/>
      <c r="F21" s="44" t="n"/>
      <c r="G21" s="44" t="n"/>
      <c r="H21" s="44" t="n"/>
      <c r="I21" s="45" t="n">
        <v>3.5</v>
      </c>
      <c r="J21" s="19" t="inlineStr"/>
      <c r="K21" s="10" t="inlineStr">
        <is>
          <t>Not Started</t>
        </is>
      </c>
      <c r="L21" s="19" t="inlineStr">
        <is>
          <t>Hoang</t>
        </is>
      </c>
      <c r="M21" s="20" t="inlineStr">
        <is>
          <t>chan Finding or writer interface; all pipeline components write here; schema frozen after M1.4</t>
        </is>
      </c>
    </row>
    <row r="22" ht="45" customHeight="1">
      <c r="A22" s="40" t="inlineStr">
        <is>
          <t>1.M2.T6</t>
        </is>
      </c>
      <c r="B22" s="23" t="inlineStr">
        <is>
          <t xml:space="preserve">    Cross-compile build pipeline (darwin/linux/windows, amd64/arm64)</t>
        </is>
      </c>
      <c r="C22" s="22" t="inlineStr">
        <is>
          <t>TASK</t>
        </is>
      </c>
      <c r="D22" s="22" t="inlineStr"/>
      <c r="E22" s="22" t="inlineStr"/>
      <c r="F22" s="41" t="n"/>
      <c r="G22" s="41" t="n"/>
      <c r="H22" s="41" t="n"/>
      <c r="I22" s="42" t="n">
        <v>2</v>
      </c>
      <c r="J22" s="22" t="inlineStr"/>
      <c r="K22" s="10" t="inlineStr">
        <is>
          <t>Not Started</t>
        </is>
      </c>
      <c r="L22" s="22" t="inlineStr">
        <is>
          <t>Hoang</t>
        </is>
      </c>
      <c r="M22" s="23" t="inlineStr">
        <is>
          <t>Makefile targets; GoReleaser optional; verify binary size &lt; 20 MB</t>
        </is>
      </c>
    </row>
    <row r="23" ht="45" customHeight="1">
      <c r="A23" s="43" t="inlineStr">
        <is>
          <t>1.M2.T7</t>
        </is>
      </c>
      <c r="B23" s="20" t="inlineStr">
        <is>
          <t xml:space="preserve">    Smoke test on real directory + binary install verification</t>
        </is>
      </c>
      <c r="C23" s="19" t="inlineStr">
        <is>
          <t>TASK</t>
        </is>
      </c>
      <c r="D23" s="19" t="inlineStr"/>
      <c r="E23" s="19" t="inlineStr"/>
      <c r="F23" s="44" t="n"/>
      <c r="G23" s="44" t="n"/>
      <c r="H23" s="44" t="n"/>
      <c r="I23" s="45" t="n">
        <v>3.8</v>
      </c>
      <c r="J23" s="19" t="inlineStr"/>
      <c r="K23" s="10" t="inlineStr">
        <is>
          <t>Not Started</t>
        </is>
      </c>
      <c r="L23" s="19" t="inlineStr">
        <is>
          <t>Hoang</t>
        </is>
      </c>
      <c r="M23" s="20" t="inlineStr">
        <is>
          <t>Binary accepts path arg, scans synthetic codebase, exits 0; test on macOS + Linux</t>
        </is>
      </c>
    </row>
    <row r="24" ht="5" customHeight="1"/>
    <row r="25" ht="40" customHeight="1">
      <c r="A25" s="4" t="inlineStr">
        <is>
          <t>1.M3</t>
        </is>
      </c>
      <c r="B25" s="34" t="inlineStr">
        <is>
          <t>Ingestion Layer — Model Integrity Verifier + Differential Indexer</t>
        </is>
      </c>
      <c r="C25" s="4" t="inlineStr">
        <is>
          <t>MILESTONE</t>
        </is>
      </c>
      <c r="D25" s="4" t="inlineStr">
        <is>
          <t>2026-06-20</t>
        </is>
      </c>
      <c r="E25" s="4" t="inlineStr">
        <is>
          <t>2026-06-25</t>
        </is>
      </c>
      <c r="F25" s="35" t="n">
        <v>12</v>
      </c>
      <c r="G25" s="35" t="n">
        <v>18</v>
      </c>
      <c r="H25" s="35" t="n">
        <v>28</v>
      </c>
      <c r="I25" s="36" t="n">
        <v>18.7</v>
      </c>
      <c r="J25" s="4" t="inlineStr"/>
      <c r="K25" s="4" t="inlineStr">
        <is>
          <t>Not Started</t>
        </is>
      </c>
      <c r="L25" s="4" t="inlineStr"/>
      <c r="M25" s="34" t="inlineStr">
        <is>
          <t>MIV is a unique security property vs all competitors; demo talking point</t>
        </is>
      </c>
    </row>
    <row r="26" ht="45" customHeight="1">
      <c r="A26" s="40" t="inlineStr">
        <is>
          <t>1.M3.T1</t>
        </is>
      </c>
      <c r="B26" s="23" t="inlineStr">
        <is>
          <t xml:space="preserve">    Model Integrity Verifier: SHA256 hash function for GGUF file</t>
        </is>
      </c>
      <c r="C26" s="22" t="inlineStr">
        <is>
          <t>TASK</t>
        </is>
      </c>
      <c r="D26" s="22" t="inlineStr"/>
      <c r="E26" s="22" t="inlineStr"/>
      <c r="F26" s="41" t="n"/>
      <c r="G26" s="41" t="n"/>
      <c r="H26" s="41" t="n"/>
      <c r="I26" s="42" t="n">
        <v>1</v>
      </c>
      <c r="J26" s="22" t="inlineStr"/>
      <c r="K26" s="10" t="inlineStr">
        <is>
          <t>Not Started</t>
        </is>
      </c>
      <c r="L26" s="22" t="inlineStr">
        <is>
          <t>Hoang</t>
        </is>
      </c>
      <c r="M26" s="23" t="inlineStr">
        <is>
          <t>crypto/sha256; stream file in chunks to avoid OOM on large (4-8 GB) models</t>
        </is>
      </c>
    </row>
    <row r="27" ht="45" customHeight="1">
      <c r="A27" s="43" t="inlineStr">
        <is>
          <t>1.M3.T2</t>
        </is>
      </c>
      <c r="B27" s="20" t="inlineStr">
        <is>
          <t xml:space="preserve">    Model Integrity Verifier: pinned manifest format + loader</t>
        </is>
      </c>
      <c r="C27" s="19" t="inlineStr">
        <is>
          <t>TASK</t>
        </is>
      </c>
      <c r="D27" s="19" t="inlineStr"/>
      <c r="E27" s="19" t="inlineStr"/>
      <c r="F27" s="44" t="n"/>
      <c r="G27" s="44" t="n"/>
      <c r="H27" s="44" t="n"/>
      <c r="I27" s="45" t="n">
        <v>2</v>
      </c>
      <c r="J27" s="19" t="inlineStr"/>
      <c r="K27" s="10" t="inlineStr">
        <is>
          <t>Not Started</t>
        </is>
      </c>
      <c r="L27" s="19" t="inlineStr">
        <is>
          <t>Hoang</t>
        </is>
      </c>
      <c r="M27" s="20" t="inlineStr">
        <is>
          <t>JSON manifest: model name, version, expected SHA256; bundled in binary via go:embed</t>
        </is>
      </c>
    </row>
    <row r="28" ht="45" customHeight="1">
      <c r="A28" s="40" t="inlineStr">
        <is>
          <t>1.M3.T3</t>
        </is>
      </c>
      <c r="B28" s="23" t="inlineStr">
        <is>
          <t xml:space="preserve">    Model Integrity Verifier: startup check — block scan + user-facing error on mismatch</t>
        </is>
      </c>
      <c r="C28" s="22" t="inlineStr">
        <is>
          <t>TASK</t>
        </is>
      </c>
      <c r="D28" s="22" t="inlineStr"/>
      <c r="E28" s="22" t="inlineStr"/>
      <c r="F28" s="41" t="n"/>
      <c r="G28" s="41" t="n"/>
      <c r="H28" s="41" t="n"/>
      <c r="I28" s="42" t="n">
        <v>2</v>
      </c>
      <c r="J28" s="22" t="inlineStr"/>
      <c r="K28" s="10" t="inlineStr">
        <is>
          <t>Not Started</t>
        </is>
      </c>
      <c r="L28" s="22" t="inlineStr">
        <is>
          <t>Hoang</t>
        </is>
      </c>
      <c r="M28" s="23" t="inlineStr">
        <is>
          <t>Exit code 1 + clear error message; never silently continue on mismatch</t>
        </is>
      </c>
    </row>
    <row r="29" ht="45" customHeight="1">
      <c r="A29" s="43" t="inlineStr">
        <is>
          <t>1.M3.T4</t>
        </is>
      </c>
      <c r="B29" s="20" t="inlineStr">
        <is>
          <t xml:space="preserve">    Differential Indexer: per-file hash computation</t>
        </is>
      </c>
      <c r="C29" s="19" t="inlineStr">
        <is>
          <t>TASK</t>
        </is>
      </c>
      <c r="D29" s="19" t="inlineStr"/>
      <c r="E29" s="19" t="inlineStr"/>
      <c r="F29" s="44" t="n"/>
      <c r="G29" s="44" t="n"/>
      <c r="H29" s="44" t="n"/>
      <c r="I29" s="45" t="n">
        <v>2</v>
      </c>
      <c r="J29" s="19" t="inlineStr"/>
      <c r="K29" s="10" t="inlineStr">
        <is>
          <t>Not Started</t>
        </is>
      </c>
      <c r="L29" s="19" t="inlineStr">
        <is>
          <t>Hoang</t>
        </is>
      </c>
      <c r="M29" s="20" t="inlineStr">
        <is>
          <t>xxHash (faster) or SHA256 per file; parallel via goroutines over file list</t>
        </is>
      </c>
    </row>
    <row r="30" ht="45" customHeight="1">
      <c r="A30" s="40" t="inlineStr">
        <is>
          <t>1.M3.T5</t>
        </is>
      </c>
      <c r="B30" s="23" t="inlineStr">
        <is>
          <t xml:space="preserve">    Differential Indexer: hash cache store</t>
        </is>
      </c>
      <c r="C30" s="22" t="inlineStr">
        <is>
          <t>TASK</t>
        </is>
      </c>
      <c r="D30" s="22" t="inlineStr"/>
      <c r="E30" s="22" t="inlineStr"/>
      <c r="F30" s="41" t="n"/>
      <c r="G30" s="41" t="n"/>
      <c r="H30" s="41" t="n"/>
      <c r="I30" s="42" t="n">
        <v>2.5</v>
      </c>
      <c r="J30" s="22" t="inlineStr"/>
      <c r="K30" s="10" t="inlineStr">
        <is>
          <t>Not Started</t>
        </is>
      </c>
      <c r="L30" s="22" t="inlineStr">
        <is>
          <t>Hoang</t>
        </is>
      </c>
      <c r="M30" s="23" t="inlineStr">
        <is>
          <t>BoltDB at ~/.zerotrust/cache/&lt;project-hash&gt;.db; JSON flat-file as fallback</t>
        </is>
      </c>
    </row>
    <row r="31" ht="45" customHeight="1">
      <c r="A31" s="43" t="inlineStr">
        <is>
          <t>1.M3.T6</t>
        </is>
      </c>
      <c r="B31" s="20" t="inlineStr">
        <is>
          <t xml:space="preserve">    Differential Indexer: dirty-file computation (current vs cached hash diff)</t>
        </is>
      </c>
      <c r="C31" s="19" t="inlineStr">
        <is>
          <t>TASK</t>
        </is>
      </c>
      <c r="D31" s="19" t="inlineStr"/>
      <c r="E31" s="19" t="inlineStr"/>
      <c r="F31" s="44" t="n"/>
      <c r="G31" s="44" t="n"/>
      <c r="H31" s="44" t="n"/>
      <c r="I31" s="45" t="n">
        <v>2</v>
      </c>
      <c r="J31" s="19" t="inlineStr"/>
      <c r="K31" s="10" t="inlineStr">
        <is>
          <t>Not Started</t>
        </is>
      </c>
      <c r="L31" s="19" t="inlineStr">
        <is>
          <t>Hoang</t>
        </is>
      </c>
      <c r="M31" s="20" t="inlineStr">
        <is>
          <t>Returns []FileEntry of changed + new files only; passes to pipeline entry point</t>
        </is>
      </c>
    </row>
    <row r="32" ht="45" customHeight="1">
      <c r="A32" s="40" t="inlineStr">
        <is>
          <t>1.M3.T7</t>
        </is>
      </c>
      <c r="B32" s="23" t="inlineStr">
        <is>
          <t xml:space="preserve">    Differential Indexer: cache update on successful scan completion</t>
        </is>
      </c>
      <c r="C32" s="22" t="inlineStr">
        <is>
          <t>TASK</t>
        </is>
      </c>
      <c r="D32" s="22" t="inlineStr"/>
      <c r="E32" s="22" t="inlineStr"/>
      <c r="F32" s="41" t="n"/>
      <c r="G32" s="41" t="n"/>
      <c r="H32" s="41" t="n"/>
      <c r="I32" s="42" t="n">
        <v>1.5</v>
      </c>
      <c r="J32" s="22" t="inlineStr"/>
      <c r="K32" s="10" t="inlineStr">
        <is>
          <t>Not Started</t>
        </is>
      </c>
      <c r="L32" s="22" t="inlineStr">
        <is>
          <t>Hoang</t>
        </is>
      </c>
      <c r="M32" s="23" t="inlineStr">
        <is>
          <t>Only write on clean exit (code 0); never persist partial scan state</t>
        </is>
      </c>
    </row>
    <row r="33" ht="45" customHeight="1">
      <c r="A33" s="43" t="inlineStr">
        <is>
          <t>1.M3.T8</t>
        </is>
      </c>
      <c r="B33" s="20" t="inlineStr">
        <is>
          <t xml:space="preserve">    Integration test: tampered GGUF file -&gt; scan blocked</t>
        </is>
      </c>
      <c r="C33" s="19" t="inlineStr">
        <is>
          <t>TASK</t>
        </is>
      </c>
      <c r="D33" s="19" t="inlineStr"/>
      <c r="E33" s="19" t="inlineStr"/>
      <c r="F33" s="44" t="n"/>
      <c r="G33" s="44" t="n"/>
      <c r="H33" s="44" t="n"/>
      <c r="I33" s="45" t="n">
        <v>2.5</v>
      </c>
      <c r="J33" s="19" t="inlineStr"/>
      <c r="K33" s="10" t="inlineStr">
        <is>
          <t>Not Started</t>
        </is>
      </c>
      <c r="L33" s="19" t="inlineStr">
        <is>
          <t>Hoang</t>
        </is>
      </c>
      <c r="M33" s="20" t="inlineStr">
        <is>
          <t>Flip one byte in model file; assert exit code 1 + correct error message</t>
        </is>
      </c>
    </row>
    <row r="34" ht="45" customHeight="1">
      <c r="A34" s="40" t="inlineStr">
        <is>
          <t>1.M3.T9</t>
        </is>
      </c>
      <c r="B34" s="23" t="inlineStr">
        <is>
          <t xml:space="preserve">    Integration test: repeat scan -&gt; only changed files re-scanned</t>
        </is>
      </c>
      <c r="C34" s="22" t="inlineStr">
        <is>
          <t>TASK</t>
        </is>
      </c>
      <c r="D34" s="22" t="inlineStr"/>
      <c r="E34" s="22" t="inlineStr"/>
      <c r="F34" s="41" t="n"/>
      <c r="G34" s="41" t="n"/>
      <c r="H34" s="41" t="n"/>
      <c r="I34" s="42" t="n">
        <v>3.2</v>
      </c>
      <c r="J34" s="22" t="inlineStr"/>
      <c r="K34" s="10" t="inlineStr">
        <is>
          <t>Not Started</t>
        </is>
      </c>
      <c r="L34" s="22" t="inlineStr">
        <is>
          <t>Hoang</t>
        </is>
      </c>
      <c r="M34" s="23" t="inlineStr">
        <is>
          <t>Full scan, modify 1 file, rescan; assert only modified file enters pipeline</t>
        </is>
      </c>
    </row>
    <row r="35" ht="5" customHeight="1"/>
    <row r="36" ht="40" customHeight="1">
      <c r="A36" s="4" t="inlineStr">
        <is>
          <t>1.M4</t>
        </is>
      </c>
      <c r="B36" s="34" t="inlineStr">
        <is>
          <t>Canonical Finding Schema + CLI Output</t>
        </is>
      </c>
      <c r="C36" s="4" t="inlineStr">
        <is>
          <t>MILESTONE</t>
        </is>
      </c>
      <c r="D36" s="4" t="inlineStr">
        <is>
          <t>2026-06-25</t>
        </is>
      </c>
      <c r="E36" s="4" t="inlineStr">
        <is>
          <t>2026-06-27</t>
        </is>
      </c>
      <c r="F36" s="35" t="n">
        <v>6</v>
      </c>
      <c r="G36" s="35" t="n">
        <v>10</v>
      </c>
      <c r="H36" s="35" t="n">
        <v>16</v>
      </c>
      <c r="I36" s="36" t="n">
        <v>10.3</v>
      </c>
      <c r="J36" s="4" t="inlineStr"/>
      <c r="K36" s="4" t="inlineStr">
        <is>
          <t>Not Started</t>
        </is>
      </c>
      <c r="L36" s="4" t="inlineStr"/>
      <c r="M36" s="34" t="inlineStr">
        <is>
          <t>Schema locked after this milestone — no breaking changes in G2/G3/G4</t>
        </is>
      </c>
    </row>
    <row r="37" ht="45" customHeight="1">
      <c r="A37" s="43" t="inlineStr">
        <is>
          <t>1.M4.T1</t>
        </is>
      </c>
      <c r="B37" s="20" t="inlineStr">
        <is>
          <t xml:space="preserve">    Finding struct definition in Go</t>
        </is>
      </c>
      <c r="C37" s="19" t="inlineStr">
        <is>
          <t>TASK</t>
        </is>
      </c>
      <c r="D37" s="19" t="inlineStr"/>
      <c r="E37" s="19" t="inlineStr"/>
      <c r="F37" s="44" t="n"/>
      <c r="G37" s="44" t="n"/>
      <c r="H37" s="44" t="n"/>
      <c r="I37" s="45" t="n">
        <v>2</v>
      </c>
      <c r="J37" s="19" t="inlineStr"/>
      <c r="K37" s="10" t="inlineStr">
        <is>
          <t>Not Started</t>
        </is>
      </c>
      <c r="L37" s="19" t="inlineStr">
        <is>
          <t>Hoang</t>
        </is>
      </c>
      <c r="M37" s="20" t="inlineStr">
        <is>
          <t>Fields: CWE, Severity, File, LineStart, LineEnd, Source, Confidence, Evidence, TaintPath (omitempty)</t>
        </is>
      </c>
    </row>
    <row r="38" ht="45" customHeight="1">
      <c r="A38" s="40" t="inlineStr">
        <is>
          <t>1.M4.T2</t>
        </is>
      </c>
      <c r="B38" s="23" t="inlineStr">
        <is>
          <t xml:space="preserve">    Severity tier constants (BLOCK / HIGH / MEDIUM / LOW / SUPPRESSED)</t>
        </is>
      </c>
      <c r="C38" s="22" t="inlineStr">
        <is>
          <t>TASK</t>
        </is>
      </c>
      <c r="D38" s="22" t="inlineStr"/>
      <c r="E38" s="22" t="inlineStr"/>
      <c r="F38" s="41" t="n"/>
      <c r="G38" s="41" t="n"/>
      <c r="H38" s="41" t="n"/>
      <c r="I38" s="42" t="n">
        <v>0.5</v>
      </c>
      <c r="J38" s="22" t="inlineStr"/>
      <c r="K38" s="10" t="inlineStr">
        <is>
          <t>Not Started</t>
        </is>
      </c>
      <c r="L38" s="22" t="inlineStr">
        <is>
          <t>Hoang</t>
        </is>
      </c>
      <c r="M38" s="23" t="inlineStr">
        <is>
          <t>Typed string constants — not bare strings; use in all components</t>
        </is>
      </c>
    </row>
    <row r="39" ht="45" customHeight="1">
      <c r="A39" s="43" t="inlineStr">
        <is>
          <t>1.M4.T3</t>
        </is>
      </c>
      <c r="B39" s="20" t="inlineStr">
        <is>
          <t xml:space="preserve">    JSON serialization for Finding struct</t>
        </is>
      </c>
      <c r="C39" s="19" t="inlineStr">
        <is>
          <t>TASK</t>
        </is>
      </c>
      <c r="D39" s="19" t="inlineStr"/>
      <c r="E39" s="19" t="inlineStr"/>
      <c r="F39" s="44" t="n"/>
      <c r="G39" s="44" t="n"/>
      <c r="H39" s="44" t="n"/>
      <c r="I39" s="45" t="n">
        <v>2</v>
      </c>
      <c r="J39" s="19" t="inlineStr"/>
      <c r="K39" s="10" t="inlineStr">
        <is>
          <t>Not Started</t>
        </is>
      </c>
      <c r="L39" s="19" t="inlineStr">
        <is>
          <t>Hoang</t>
        </is>
      </c>
      <c r="M39" s="20" t="inlineStr">
        <is>
          <t>encoding/json; omitempty on optional fields; test marshal/unmarshal roundtrip</t>
        </is>
      </c>
    </row>
    <row r="40" ht="45" customHeight="1">
      <c r="A40" s="40" t="inlineStr">
        <is>
          <t>1.M4.T4</t>
        </is>
      </c>
      <c r="B40" s="23" t="inlineStr">
        <is>
          <t xml:space="preserve">    Human-readable stdout formatter (colorized, grouped by severity)</t>
        </is>
      </c>
      <c r="C40" s="22" t="inlineStr">
        <is>
          <t>TASK</t>
        </is>
      </c>
      <c r="D40" s="22" t="inlineStr"/>
      <c r="E40" s="22" t="inlineStr"/>
      <c r="F40" s="41" t="n"/>
      <c r="G40" s="41" t="n"/>
      <c r="H40" s="41" t="n"/>
      <c r="I40" s="42" t="n">
        <v>3</v>
      </c>
      <c r="J40" s="22" t="inlineStr"/>
      <c r="K40" s="10" t="inlineStr">
        <is>
          <t>Not Started</t>
        </is>
      </c>
      <c r="L40" s="22" t="inlineStr">
        <is>
          <t>Hoang</t>
        </is>
      </c>
      <c r="M40" s="23" t="inlineStr">
        <is>
          <t>BLOCK=red, HIGH=orange, MEDIUM=yellow, LOW=blue; respect NO_COLOR env var</t>
        </is>
      </c>
    </row>
    <row r="41" ht="45" customHeight="1">
      <c r="A41" s="43" t="inlineStr">
        <is>
          <t>1.M4.T5</t>
        </is>
      </c>
      <c r="B41" s="20" t="inlineStr">
        <is>
          <t xml:space="preserve">    Unit tests: struct construction, JSON serialization, stdout output</t>
        </is>
      </c>
      <c r="C41" s="19" t="inlineStr">
        <is>
          <t>TASK</t>
        </is>
      </c>
      <c r="D41" s="19" t="inlineStr"/>
      <c r="E41" s="19" t="inlineStr"/>
      <c r="F41" s="44" t="n"/>
      <c r="G41" s="44" t="n"/>
      <c r="H41" s="44" t="n"/>
      <c r="I41" s="45" t="n">
        <v>2.8</v>
      </c>
      <c r="J41" s="19" t="inlineStr"/>
      <c r="K41" s="10" t="inlineStr">
        <is>
          <t>Not Started</t>
        </is>
      </c>
      <c r="L41" s="19" t="inlineStr">
        <is>
          <t>Hoang</t>
        </is>
      </c>
      <c r="M41" s="20" t="inlineStr">
        <is>
          <t>Table-driven tests; golden file for stdout formatter output</t>
        </is>
      </c>
    </row>
    <row r="42" ht="5" customHeight="1"/>
    <row r="43" ht="40" customHeight="1">
      <c r="A43" s="46" t="inlineStr">
        <is>
          <t>1.BUF</t>
        </is>
      </c>
      <c r="B43" s="47" t="inlineStr">
        <is>
          <t>G1 Buffer</t>
        </is>
      </c>
      <c r="C43" s="46" t="inlineStr">
        <is>
          <t>BUFFER</t>
        </is>
      </c>
      <c r="D43" s="46" t="inlineStr">
        <is>
          <t>2026-06-11</t>
        </is>
      </c>
      <c r="E43" s="46" t="inlineStr">
        <is>
          <t>2026-06-27</t>
        </is>
      </c>
      <c r="F43" s="48" t="n"/>
      <c r="G43" s="48" t="n"/>
      <c r="H43" s="48" t="n"/>
      <c r="I43" s="49" t="n">
        <v>10</v>
      </c>
      <c r="J43" s="46" t="inlineStr"/>
      <c r="K43" s="46" t="inlineStr"/>
      <c r="L43" s="46" t="inlineStr"/>
      <c r="M43" s="47" t="inlineStr">
        <is>
          <t>Absorbs: Joern env surprises (R-01), tool version mismatches, sick days; cut stretch items before touching buffer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7" customWidth="1" min="11" max="11"/>
    <col width="10" customWidth="1" min="12" max="12"/>
    <col width="38" customWidth="1" min="13" max="13"/>
  </cols>
  <sheetData>
    <row r="1" ht="50" customHeight="1">
      <c r="A1" s="1" t="inlineStr">
        <is>
          <t>ZeroTrust.sh  ·  G2 — Path A: CPG + Taint + LLM Verifier</t>
        </is>
      </c>
    </row>
    <row r="2" ht="22" customHeight="1">
      <c r="A2" s="2" t="inlineStr">
        <is>
          <t>Intern: Ton Minh Hoang  ·  VNG ZingPlay Studio  ·  Goal: Joern CPG + taint queries + Python worker IPC + LLM Verifier  ·  Deadline: 2026-07-18</t>
        </is>
      </c>
    </row>
    <row r="3" ht="6" customHeight="1"/>
    <row r="4" ht="50" customHeight="1">
      <c r="A4" s="4" t="inlineStr">
        <is>
          <t>ID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Start Date</t>
        </is>
      </c>
      <c r="E4" s="4" t="inlineStr">
        <is>
          <t>End Date</t>
        </is>
      </c>
      <c r="F4" s="4" t="inlineStr">
        <is>
          <t>PERT O (h)</t>
        </is>
      </c>
      <c r="G4" s="4" t="inlineStr">
        <is>
          <t>PERT ML (h)</t>
        </is>
      </c>
      <c r="H4" s="4" t="inlineStr">
        <is>
          <t>PERT P (h)</t>
        </is>
      </c>
      <c r="I4" s="4" t="inlineStr">
        <is>
          <t>PERT E (h)</t>
        </is>
      </c>
      <c r="J4" s="4" t="inlineStr">
        <is>
          <t>Actual Hrs</t>
        </is>
      </c>
      <c r="K4" s="4" t="inlineStr">
        <is>
          <t>Status</t>
        </is>
      </c>
      <c r="L4" s="4" t="inlineStr">
        <is>
          <t>Owner</t>
        </is>
      </c>
      <c r="M4" s="4" t="inlineStr">
        <is>
          <t>Notes</t>
        </is>
      </c>
    </row>
    <row r="5" ht="40" customHeight="1">
      <c r="A5" s="4" t="inlineStr">
        <is>
          <t>2.M1</t>
        </is>
      </c>
      <c r="B5" s="34" t="inlineStr">
        <is>
          <t>Joern CPG Build Pipeline</t>
        </is>
      </c>
      <c r="C5" s="4" t="inlineStr">
        <is>
          <t>MILESTONE</t>
        </is>
      </c>
      <c r="D5" s="4" t="inlineStr">
        <is>
          <t>2026-06-30</t>
        </is>
      </c>
      <c r="E5" s="4" t="inlineStr">
        <is>
          <t>2026-07-07</t>
        </is>
      </c>
      <c r="F5" s="35" t="n">
        <v>16</v>
      </c>
      <c r="G5" s="35" t="n">
        <v>25</v>
      </c>
      <c r="H5" s="35" t="n">
        <v>40</v>
      </c>
      <c r="I5" s="36" t="n">
        <v>26</v>
      </c>
      <c r="J5" s="4" t="inlineStr"/>
      <c r="K5" s="4" t="inlineStr">
        <is>
          <t>Not Started</t>
        </is>
      </c>
      <c r="L5" s="4" t="inlineStr"/>
      <c r="M5" s="34" t="inlineStr">
        <is>
          <t>Highest-risk milestone in plan; Joern env setup is the most common blocker; plan for 1-2 debug days</t>
        </is>
      </c>
    </row>
    <row r="6" ht="45" customHeight="1">
      <c r="A6" s="40" t="inlineStr">
        <is>
          <t>2.M1.T1</t>
        </is>
      </c>
      <c r="B6" s="23" t="inlineStr">
        <is>
          <t xml:space="preserve">    Joern installation + JVM setup + version-pin</t>
        </is>
      </c>
      <c r="C6" s="22" t="inlineStr">
        <is>
          <t>TASK</t>
        </is>
      </c>
      <c r="D6" s="22" t="inlineStr"/>
      <c r="E6" s="22" t="inlineStr"/>
      <c r="F6" s="41" t="n"/>
      <c r="G6" s="41" t="n"/>
      <c r="H6" s="41" t="n"/>
      <c r="I6" s="42" t="n">
        <v>2</v>
      </c>
      <c r="J6" s="22" t="inlineStr"/>
      <c r="K6" s="10" t="inlineStr">
        <is>
          <t>Not Started</t>
        </is>
      </c>
      <c r="L6" s="22" t="inlineStr">
        <is>
          <t>Hoang</t>
        </is>
      </c>
      <c r="M6" s="23" t="inlineStr">
        <is>
          <t>Pin exact Joern version in config (e.g. v4.x); Java 11+; confirm `joern --version` exits 0</t>
        </is>
      </c>
    </row>
    <row r="7" ht="45" customHeight="1">
      <c r="A7" s="43" t="inlineStr">
        <is>
          <t>2.M1.T2</t>
        </is>
      </c>
      <c r="B7" s="20" t="inlineStr">
        <is>
          <t xml:space="preserve">    Joern server startup verification</t>
        </is>
      </c>
      <c r="C7" s="19" t="inlineStr">
        <is>
          <t>TASK</t>
        </is>
      </c>
      <c r="D7" s="19" t="inlineStr"/>
      <c r="E7" s="19" t="inlineStr"/>
      <c r="F7" s="44" t="n"/>
      <c r="G7" s="44" t="n"/>
      <c r="H7" s="44" t="n"/>
      <c r="I7" s="45" t="n">
        <v>2.5</v>
      </c>
      <c r="J7" s="19" t="inlineStr"/>
      <c r="K7" s="10" t="inlineStr">
        <is>
          <t>Not Started</t>
        </is>
      </c>
      <c r="L7" s="19" t="inlineStr">
        <is>
          <t>Hoang</t>
        </is>
      </c>
      <c r="M7" s="20" t="inlineStr">
        <is>
          <t>Start Joern in server mode; send a no-op query; confirm response; measure cold-start time</t>
        </is>
      </c>
    </row>
    <row r="8" ht="45" customHeight="1">
      <c r="A8" s="40" t="inlineStr">
        <is>
          <t>2.M1.T3</t>
        </is>
      </c>
      <c r="B8" s="23" t="inlineStr">
        <is>
          <t xml:space="preserve">    Go subprocess wrapper: spawn Joern process via os/exec</t>
        </is>
      </c>
      <c r="C8" s="22" t="inlineStr">
        <is>
          <t>TASK</t>
        </is>
      </c>
      <c r="D8" s="22" t="inlineStr"/>
      <c r="E8" s="22" t="inlineStr"/>
      <c r="F8" s="41" t="n"/>
      <c r="G8" s="41" t="n"/>
      <c r="H8" s="41" t="n"/>
      <c r="I8" s="42" t="n">
        <v>4</v>
      </c>
      <c r="J8" s="22" t="inlineStr"/>
      <c r="K8" s="10" t="inlineStr">
        <is>
          <t>Not Started</t>
        </is>
      </c>
      <c r="L8" s="22" t="inlineStr">
        <is>
          <t>Hoang</t>
        </is>
      </c>
      <c r="M8" s="23" t="inlineStr">
        <is>
          <t>exec.Command; capture stdout/stderr; handle premature exit; log all Joern stderr to debug file</t>
        </is>
      </c>
    </row>
    <row r="9" ht="45" customHeight="1">
      <c r="A9" s="43" t="inlineStr">
        <is>
          <t>2.M1.T4</t>
        </is>
      </c>
      <c r="B9" s="20" t="inlineStr">
        <is>
          <t xml:space="preserve">    Go subprocess wrapper: health check + retry logic</t>
        </is>
      </c>
      <c r="C9" s="19" t="inlineStr">
        <is>
          <t>TASK</t>
        </is>
      </c>
      <c r="D9" s="19" t="inlineStr"/>
      <c r="E9" s="19" t="inlineStr"/>
      <c r="F9" s="44" t="n"/>
      <c r="G9" s="44" t="n"/>
      <c r="H9" s="44" t="n"/>
      <c r="I9" s="45" t="n">
        <v>2.5</v>
      </c>
      <c r="J9" s="19" t="inlineStr"/>
      <c r="K9" s="10" t="inlineStr">
        <is>
          <t>Not Started</t>
        </is>
      </c>
      <c r="L9" s="19" t="inlineStr">
        <is>
          <t>Hoang</t>
        </is>
      </c>
      <c r="M9" s="20" t="inlineStr">
        <is>
          <t>Poll Joern REST endpoint or REPL; max 3 retries; fail scan with clear error if Joern unresponsive</t>
        </is>
      </c>
    </row>
    <row r="10" ht="45" customHeight="1">
      <c r="A10" s="40" t="inlineStr">
        <is>
          <t>2.M1.T5</t>
        </is>
      </c>
      <c r="B10" s="23" t="inlineStr">
        <is>
          <t xml:space="preserve">    CPG generation: invoke Joern on source directory, capture output</t>
        </is>
      </c>
      <c r="C10" s="22" t="inlineStr">
        <is>
          <t>TASK</t>
        </is>
      </c>
      <c r="D10" s="22" t="inlineStr"/>
      <c r="E10" s="22" t="inlineStr"/>
      <c r="F10" s="41" t="n"/>
      <c r="G10" s="41" t="n"/>
      <c r="H10" s="41" t="n"/>
      <c r="I10" s="42" t="n">
        <v>4.5</v>
      </c>
      <c r="J10" s="22" t="inlineStr"/>
      <c r="K10" s="10" t="inlineStr">
        <is>
          <t>Not Started</t>
        </is>
      </c>
      <c r="L10" s="22" t="inlineStr">
        <is>
          <t>Hoang</t>
        </is>
      </c>
      <c r="M10" s="23" t="inlineStr">
        <is>
          <t>Feed only dirty files from Differential Indexer; enforce &lt;= 5K LOC gate before invoking; measure build time</t>
        </is>
      </c>
    </row>
    <row r="11" ht="45" customHeight="1">
      <c r="A11" s="43" t="inlineStr">
        <is>
          <t>2.M1.T6</t>
        </is>
      </c>
      <c r="B11" s="20" t="inlineStr">
        <is>
          <t xml:space="preserve">    CPG serialization format decision + implementation</t>
        </is>
      </c>
      <c r="C11" s="19" t="inlineStr">
        <is>
          <t>TASK</t>
        </is>
      </c>
      <c r="D11" s="19" t="inlineStr"/>
      <c r="E11" s="19" t="inlineStr"/>
      <c r="F11" s="44" t="n"/>
      <c r="G11" s="44" t="n"/>
      <c r="H11" s="44" t="n"/>
      <c r="I11" s="45" t="n">
        <v>4</v>
      </c>
      <c r="J11" s="19" t="inlineStr"/>
      <c r="K11" s="10" t="inlineStr">
        <is>
          <t>Not Started</t>
        </is>
      </c>
      <c r="L11" s="19" t="inlineStr">
        <is>
          <t>Hoang</t>
        </is>
      </c>
      <c r="M11" s="20" t="inlineStr">
        <is>
          <t>Decision: in-memory graph vs file-based export; chosen format must be readable by both Path A and Path B without re-parse</t>
        </is>
      </c>
    </row>
    <row r="12" ht="45" customHeight="1">
      <c r="A12" s="40" t="inlineStr">
        <is>
          <t>2.M1.T7</t>
        </is>
      </c>
      <c r="B12" s="23" t="inlineStr">
        <is>
          <t xml:space="preserve">    Shared CPG access interface (Path A + Path B)</t>
        </is>
      </c>
      <c r="C12" s="22" t="inlineStr">
        <is>
          <t>TASK</t>
        </is>
      </c>
      <c r="D12" s="22" t="inlineStr"/>
      <c r="E12" s="22" t="inlineStr"/>
      <c r="F12" s="41" t="n"/>
      <c r="G12" s="41" t="n"/>
      <c r="H12" s="41" t="n"/>
      <c r="I12" s="42" t="n">
        <v>3.5</v>
      </c>
      <c r="J12" s="22" t="inlineStr"/>
      <c r="K12" s="10" t="inlineStr">
        <is>
          <t>Not Started</t>
        </is>
      </c>
      <c r="L12" s="22" t="inlineStr">
        <is>
          <t>Hoang</t>
        </is>
      </c>
      <c r="M12" s="23" t="inlineStr">
        <is>
          <t>Go interface with at least: QueryNodes(type), QueryEdges(src, dst), GetCallGraph(); G3 components read from this interface</t>
        </is>
      </c>
    </row>
    <row r="13" ht="45" customHeight="1">
      <c r="A13" s="43" t="inlineStr">
        <is>
          <t>2.M1.T8</t>
        </is>
      </c>
      <c r="B13" s="20" t="inlineStr">
        <is>
          <t xml:space="preserve">    Codebase size gate (&lt;= 5K LOC) + query timeout handling</t>
        </is>
      </c>
      <c r="C13" s="19" t="inlineStr">
        <is>
          <t>TASK</t>
        </is>
      </c>
      <c r="D13" s="19" t="inlineStr"/>
      <c r="E13" s="19" t="inlineStr"/>
      <c r="F13" s="44" t="n"/>
      <c r="G13" s="44" t="n"/>
      <c r="H13" s="44" t="n"/>
      <c r="I13" s="45" t="n">
        <v>2</v>
      </c>
      <c r="J13" s="19" t="inlineStr"/>
      <c r="K13" s="10" t="inlineStr">
        <is>
          <t>Not Started</t>
        </is>
      </c>
      <c r="L13" s="19" t="inlineStr">
        <is>
          <t>Hoang</t>
        </is>
      </c>
      <c r="M13" s="20" t="inlineStr">
        <is>
          <t>Count LOC before CPG build; reject with user-facing error if over limit; kill Joern process on timeout (default 60s)</t>
        </is>
      </c>
    </row>
    <row r="14" ht="45" customHeight="1">
      <c r="A14" s="40" t="inlineStr">
        <is>
          <t>2.M1.T9</t>
        </is>
      </c>
      <c r="B14" s="23" t="inlineStr">
        <is>
          <t xml:space="preserve">    Integration test: CPG built successfully on synthetic test codebase</t>
        </is>
      </c>
      <c r="C14" s="22" t="inlineStr">
        <is>
          <t>TASK</t>
        </is>
      </c>
      <c r="D14" s="22" t="inlineStr"/>
      <c r="E14" s="22" t="inlineStr"/>
      <c r="F14" s="41" t="n"/>
      <c r="G14" s="41" t="n"/>
      <c r="H14" s="41" t="n"/>
      <c r="I14" s="42" t="n">
        <v>1.3</v>
      </c>
      <c r="J14" s="22" t="inlineStr"/>
      <c r="K14" s="10" t="inlineStr">
        <is>
          <t>Not Started</t>
        </is>
      </c>
      <c r="L14" s="22" t="inlineStr">
        <is>
          <t>Hoang</t>
        </is>
      </c>
      <c r="M14" s="23" t="inlineStr">
        <is>
          <t>Assert CPG non-empty; assert node types present (Method, Call, Identifier); assert build time &lt; 30s</t>
        </is>
      </c>
    </row>
    <row r="15" ht="5" customHeight="1"/>
    <row r="16" ht="40" customHeight="1">
      <c r="A16" s="4" t="inlineStr">
        <is>
          <t>2.M2</t>
        </is>
      </c>
      <c r="B16" s="34" t="inlineStr">
        <is>
          <t>Taint Analysis Query Layer</t>
        </is>
      </c>
      <c r="C16" s="4" t="inlineStr">
        <is>
          <t>MILESTONE</t>
        </is>
      </c>
      <c r="D16" s="4" t="inlineStr">
        <is>
          <t>2026-07-07</t>
        </is>
      </c>
      <c r="E16" s="4" t="inlineStr">
        <is>
          <t>2026-07-11</t>
        </is>
      </c>
      <c r="F16" s="35" t="n">
        <v>14</v>
      </c>
      <c r="G16" s="35" t="n">
        <v>22</v>
      </c>
      <c r="H16" s="35" t="n">
        <v>34</v>
      </c>
      <c r="I16" s="36" t="n">
        <v>22.7</v>
      </c>
      <c r="J16" s="4" t="inlineStr"/>
      <c r="K16" s="4" t="inlineStr">
        <is>
          <t>Not Started</t>
        </is>
      </c>
      <c r="L16" s="4" t="inlineStr"/>
      <c r="M16" s="34" t="inlineStr">
        <is>
          <t>Taint paths produced here are the evidence fed into M2.3 LLM Verifier prompt</t>
        </is>
      </c>
    </row>
    <row r="17" ht="45" customHeight="1">
      <c r="A17" s="43" t="inlineStr">
        <is>
          <t>2.M2.T1</t>
        </is>
      </c>
      <c r="B17" s="20" t="inlineStr">
        <is>
          <t xml:space="preserve">    Source / sanitizer / sink taxonomy definition per language</t>
        </is>
      </c>
      <c r="C17" s="19" t="inlineStr">
        <is>
          <t>TASK</t>
        </is>
      </c>
      <c r="D17" s="19" t="inlineStr"/>
      <c r="E17" s="19" t="inlineStr"/>
      <c r="F17" s="44" t="n"/>
      <c r="G17" s="44" t="n"/>
      <c r="H17" s="44" t="n"/>
      <c r="I17" s="45" t="n">
        <v>3</v>
      </c>
      <c r="J17" s="19" t="inlineStr"/>
      <c r="K17" s="10" t="inlineStr">
        <is>
          <t>Not Started</t>
        </is>
      </c>
      <c r="L17" s="19" t="inlineStr">
        <is>
          <t>Hoang</t>
        </is>
      </c>
      <c r="M17" s="20" t="inlineStr">
        <is>
          <t>Languages: Java, Python, JS/TS, Go; document each category in a YAML taxonomy file</t>
        </is>
      </c>
    </row>
    <row r="18" ht="45" customHeight="1">
      <c r="A18" s="40" t="inlineStr">
        <is>
          <t>2.M2.T2</t>
        </is>
      </c>
      <c r="B18" s="23" t="inlineStr">
        <is>
          <t xml:space="preserve">    Joern traversal queries: external-input source nodes</t>
        </is>
      </c>
      <c r="C18" s="22" t="inlineStr">
        <is>
          <t>TASK</t>
        </is>
      </c>
      <c r="D18" s="22" t="inlineStr"/>
      <c r="E18" s="22" t="inlineStr"/>
      <c r="F18" s="41" t="n"/>
      <c r="G18" s="41" t="n"/>
      <c r="H18" s="41" t="n"/>
      <c r="I18" s="42" t="n">
        <v>3.5</v>
      </c>
      <c r="J18" s="22" t="inlineStr"/>
      <c r="K18" s="10" t="inlineStr">
        <is>
          <t>Not Started</t>
        </is>
      </c>
      <c r="L18" s="22" t="inlineStr">
        <is>
          <t>Hoang</t>
        </is>
      </c>
      <c r="M18" s="23" t="inlineStr">
        <is>
          <t>Scala DSL; sources: HTTP params, env vars, file reads, stdin, deserialized objects</t>
        </is>
      </c>
    </row>
    <row r="19" ht="45" customHeight="1">
      <c r="A19" s="43" t="inlineStr">
        <is>
          <t>2.M2.T3</t>
        </is>
      </c>
      <c r="B19" s="20" t="inlineStr">
        <is>
          <t xml:space="preserve">    Joern traversal queries: sanitizer nodes</t>
        </is>
      </c>
      <c r="C19" s="19" t="inlineStr">
        <is>
          <t>TASK</t>
        </is>
      </c>
      <c r="D19" s="19" t="inlineStr"/>
      <c r="E19" s="19" t="inlineStr"/>
      <c r="F19" s="44" t="n"/>
      <c r="G19" s="44" t="n"/>
      <c r="H19" s="44" t="n"/>
      <c r="I19" s="45" t="n">
        <v>3.5</v>
      </c>
      <c r="J19" s="19" t="inlineStr"/>
      <c r="K19" s="10" t="inlineStr">
        <is>
          <t>Not Started</t>
        </is>
      </c>
      <c r="L19" s="19" t="inlineStr">
        <is>
          <t>Hoang</t>
        </is>
      </c>
      <c r="M19" s="20" t="inlineStr">
        <is>
          <t>Sanitizers: input validation, HTML encoding, parameterized queries, allowlist checks</t>
        </is>
      </c>
    </row>
    <row r="20" ht="45" customHeight="1">
      <c r="A20" s="40" t="inlineStr">
        <is>
          <t>2.M2.T4</t>
        </is>
      </c>
      <c r="B20" s="23" t="inlineStr">
        <is>
          <t xml:space="preserve">    Joern traversal queries: dangerous sink nodes</t>
        </is>
      </c>
      <c r="C20" s="22" t="inlineStr">
        <is>
          <t>TASK</t>
        </is>
      </c>
      <c r="D20" s="22" t="inlineStr"/>
      <c r="E20" s="22" t="inlineStr"/>
      <c r="F20" s="41" t="n"/>
      <c r="G20" s="41" t="n"/>
      <c r="H20" s="41" t="n"/>
      <c r="I20" s="42" t="n">
        <v>3.5</v>
      </c>
      <c r="J20" s="22" t="inlineStr"/>
      <c r="K20" s="10" t="inlineStr">
        <is>
          <t>Not Started</t>
        </is>
      </c>
      <c r="L20" s="22" t="inlineStr">
        <is>
          <t>Hoang</t>
        </is>
      </c>
      <c r="M20" s="23" t="inlineStr">
        <is>
          <t>Sinks: eval, exec/system, SQL string concat, deserialize, file write to user-controlled path, SSRF URL construction</t>
        </is>
      </c>
    </row>
    <row r="21" ht="45" customHeight="1">
      <c r="A21" s="43" t="inlineStr">
        <is>
          <t>2.M2.T5</t>
        </is>
      </c>
      <c r="B21" s="20" t="inlineStr">
        <is>
          <t xml:space="preserve">    Taint flow -&gt; Finding struct mapping + CWE assignment</t>
        </is>
      </c>
      <c r="C21" s="19" t="inlineStr">
        <is>
          <t>TASK</t>
        </is>
      </c>
      <c r="D21" s="19" t="inlineStr"/>
      <c r="E21" s="19" t="inlineStr"/>
      <c r="F21" s="44" t="n"/>
      <c r="G21" s="44" t="n"/>
      <c r="H21" s="44" t="n"/>
      <c r="I21" s="45" t="n">
        <v>3.5</v>
      </c>
      <c r="J21" s="19" t="inlineStr"/>
      <c r="K21" s="10" t="inlineStr">
        <is>
          <t>Not Started</t>
        </is>
      </c>
      <c r="L21" s="19" t="inlineStr">
        <is>
          <t>Hoang</t>
        </is>
      </c>
      <c r="M21" s="20" t="inlineStr">
        <is>
          <t>Each taint flow serialized: source node, sanitizer gaps, sink node, traversal path; CWE assigned by sink type</t>
        </is>
      </c>
    </row>
    <row r="22" ht="45" customHeight="1">
      <c r="A22" s="40" t="inlineStr">
        <is>
          <t>2.M2.T6</t>
        </is>
      </c>
      <c r="B22" s="23" t="inlineStr">
        <is>
          <t xml:space="preserve">    Multi-language taint query test suite</t>
        </is>
      </c>
      <c r="C22" s="22" t="inlineStr">
        <is>
          <t>TASK</t>
        </is>
      </c>
      <c r="D22" s="22" t="inlineStr"/>
      <c r="E22" s="22" t="inlineStr"/>
      <c r="F22" s="41" t="n"/>
      <c r="G22" s="41" t="n"/>
      <c r="H22" s="41" t="n"/>
      <c r="I22" s="42" t="n">
        <v>3</v>
      </c>
      <c r="J22" s="22" t="inlineStr"/>
      <c r="K22" s="10" t="inlineStr">
        <is>
          <t>Not Started</t>
        </is>
      </c>
      <c r="L22" s="22" t="inlineStr">
        <is>
          <t>Hoang</t>
        </is>
      </c>
      <c r="M22" s="23" t="inlineStr">
        <is>
          <t>One taint case per language (Java, Python, JS/TS, Go); each must be detected; add to CI harness</t>
        </is>
      </c>
    </row>
    <row r="23" ht="45" customHeight="1">
      <c r="A23" s="43" t="inlineStr">
        <is>
          <t>2.M2.T7</t>
        </is>
      </c>
      <c r="B23" s="20" t="inlineStr">
        <is>
          <t xml:space="preserve">    False positive baseline measurement on synthetic clean code</t>
        </is>
      </c>
      <c r="C23" s="19" t="inlineStr">
        <is>
          <t>TASK</t>
        </is>
      </c>
      <c r="D23" s="19" t="inlineStr"/>
      <c r="E23" s="19" t="inlineStr"/>
      <c r="F23" s="44" t="n"/>
      <c r="G23" s="44" t="n"/>
      <c r="H23" s="44" t="n"/>
      <c r="I23" s="45" t="n">
        <v>2.7</v>
      </c>
      <c r="J23" s="19" t="inlineStr"/>
      <c r="K23" s="10" t="inlineStr">
        <is>
          <t>Not Started</t>
        </is>
      </c>
      <c r="L23" s="19" t="inlineStr">
        <is>
          <t>Hoang</t>
        </is>
      </c>
      <c r="M23" s="20" t="inlineStr">
        <is>
          <t>Run taint queries on clean-code control set; count FPs; record as baseline before LLM Verifier applied</t>
        </is>
      </c>
    </row>
    <row r="24" ht="5" customHeight="1"/>
    <row r="25" ht="40" customHeight="1">
      <c r="A25" s="4" t="inlineStr">
        <is>
          <t>2.M3</t>
        </is>
      </c>
      <c r="B25" s="34" t="inlineStr">
        <is>
          <t>Python Worker Bootstrap + LLM Verifier (False Positive Filter)</t>
        </is>
      </c>
      <c r="C25" s="4" t="inlineStr">
        <is>
          <t>MILESTONE</t>
        </is>
      </c>
      <c r="D25" s="4" t="inlineStr">
        <is>
          <t>2026-07-11</t>
        </is>
      </c>
      <c r="E25" s="4" t="inlineStr">
        <is>
          <t>2026-07-16</t>
        </is>
      </c>
      <c r="F25" s="35" t="n">
        <v>18</v>
      </c>
      <c r="G25" s="35" t="n">
        <v>29</v>
      </c>
      <c r="H25" s="35" t="n">
        <v>42</v>
      </c>
      <c r="I25" s="36" t="n">
        <v>29.3</v>
      </c>
      <c r="J25" s="4" t="inlineStr"/>
      <c r="K25" s="4" t="inlineStr">
        <is>
          <t>Not Started</t>
        </is>
      </c>
      <c r="L25" s="4" t="inlineStr"/>
      <c r="M25" s="34" t="inlineStr">
        <is>
          <t>Two parts: (1) IPC boundary — built once, reused by all G3 ML components; (2) LLM Verifier using XGrammar</t>
        </is>
      </c>
    </row>
    <row r="26" ht="45" customHeight="1">
      <c r="A26" s="40" t="inlineStr">
        <is>
          <t>2.M3.T1</t>
        </is>
      </c>
      <c r="B26" s="23" t="inlineStr">
        <is>
          <t xml:space="preserve">    Python venv setup + requirements.txt</t>
        </is>
      </c>
      <c r="C26" s="22" t="inlineStr">
        <is>
          <t>TASK</t>
        </is>
      </c>
      <c r="D26" s="22" t="inlineStr"/>
      <c r="E26" s="22" t="inlineStr"/>
      <c r="F26" s="41" t="n"/>
      <c r="G26" s="41" t="n"/>
      <c r="H26" s="41" t="n"/>
      <c r="I26" s="42" t="n">
        <v>1.5</v>
      </c>
      <c r="J26" s="22" t="inlineStr"/>
      <c r="K26" s="10" t="inlineStr">
        <is>
          <t>Not Started</t>
        </is>
      </c>
      <c r="L26" s="22" t="inlineStr">
        <is>
          <t>Hoang</t>
        </is>
      </c>
      <c r="M26" s="23" t="inlineStr">
        <is>
          <t>Packages: xgrammar, ollama (Python client), httpx; pin versions; venv at worker/venv/</t>
        </is>
      </c>
    </row>
    <row r="27" ht="45" customHeight="1">
      <c r="A27" s="43" t="inlineStr">
        <is>
          <t>2.M3.T2</t>
        </is>
      </c>
      <c r="B27" s="20" t="inlineStr">
        <is>
          <t xml:space="preserve">    Python worker main.py: message dispatcher</t>
        </is>
      </c>
      <c r="C27" s="19" t="inlineStr">
        <is>
          <t>TASK</t>
        </is>
      </c>
      <c r="D27" s="19" t="inlineStr"/>
      <c r="E27" s="19" t="inlineStr"/>
      <c r="F27" s="44" t="n"/>
      <c r="G27" s="44" t="n"/>
      <c r="H27" s="44" t="n"/>
      <c r="I27" s="45" t="n">
        <v>3</v>
      </c>
      <c r="J27" s="19" t="inlineStr"/>
      <c r="K27" s="10" t="inlineStr">
        <is>
          <t>Not Started</t>
        </is>
      </c>
      <c r="L27" s="19" t="inlineStr">
        <is>
          <t>Hoang</t>
        </is>
      </c>
      <c r="M27" s="20" t="inlineStr">
        <is>
          <t>Reads NDJSON from stdin in a loop; dispatches by `type` field (llm_verify, classify, summarize, llm_scan, ping, shutdown)</t>
        </is>
      </c>
    </row>
    <row r="28" ht="45" customHeight="1">
      <c r="A28" s="40" t="inlineStr">
        <is>
          <t>2.M3.T3</t>
        </is>
      </c>
      <c r="B28" s="23" t="inlineStr">
        <is>
          <t xml:space="preserve">    Go worker-manager: spawn Python worker via os/exec + pipe setup</t>
        </is>
      </c>
      <c r="C28" s="22" t="inlineStr">
        <is>
          <t>TASK</t>
        </is>
      </c>
      <c r="D28" s="22" t="inlineStr"/>
      <c r="E28" s="22" t="inlineStr"/>
      <c r="F28" s="41" t="n"/>
      <c r="G28" s="41" t="n"/>
      <c r="H28" s="41" t="n"/>
      <c r="I28" s="42" t="n">
        <v>3.5</v>
      </c>
      <c r="J28" s="22" t="inlineStr"/>
      <c r="K28" s="10" t="inlineStr">
        <is>
          <t>Not Started</t>
        </is>
      </c>
      <c r="L28" s="22" t="inlineStr">
        <is>
          <t>Hoang</t>
        </is>
      </c>
      <c r="M28" s="23" t="inlineStr">
        <is>
          <t>exec.Command('python3', '-u', 'worker/main.py'); -u disables output buffering; pipe stdin + stdout; route stderr to log</t>
        </is>
      </c>
    </row>
    <row r="29" ht="45" customHeight="1">
      <c r="A29" s="43" t="inlineStr">
        <is>
          <t>2.M3.T4</t>
        </is>
      </c>
      <c r="B29" s="20" t="inlineStr">
        <is>
          <t xml:space="preserve">    Go worker-manager: health-check ping + restart-on-crash logic</t>
        </is>
      </c>
      <c r="C29" s="19" t="inlineStr">
        <is>
          <t>TASK</t>
        </is>
      </c>
      <c r="D29" s="19" t="inlineStr"/>
      <c r="E29" s="19" t="inlineStr"/>
      <c r="F29" s="44" t="n"/>
      <c r="G29" s="44" t="n"/>
      <c r="H29" s="44" t="n"/>
      <c r="I29" s="45" t="n">
        <v>2.5</v>
      </c>
      <c r="J29" s="19" t="inlineStr"/>
      <c r="K29" s="10" t="inlineStr">
        <is>
          <t>Not Started</t>
        </is>
      </c>
      <c r="L29" s="19" t="inlineStr">
        <is>
          <t>Hoang</t>
        </is>
      </c>
      <c r="M29" s="20" t="inlineStr">
        <is>
          <t>Send ping; await pong; detect closed stdout pipe; attempt 1 restart; fallback to direct Ollama HTTP on second failure</t>
        </is>
      </c>
    </row>
    <row r="30" ht="45" customHeight="1">
      <c r="A30" s="40" t="inlineStr">
        <is>
          <t>2.M3.T5</t>
        </is>
      </c>
      <c r="B30" s="23" t="inlineStr">
        <is>
          <t xml:space="preserve">    NDJSON protocol: request/response schema + Go client library</t>
        </is>
      </c>
      <c r="C30" s="22" t="inlineStr">
        <is>
          <t>TASK</t>
        </is>
      </c>
      <c r="D30" s="22" t="inlineStr"/>
      <c r="E30" s="22" t="inlineStr"/>
      <c r="F30" s="41" t="n"/>
      <c r="G30" s="41" t="n"/>
      <c r="H30" s="41" t="n"/>
      <c r="I30" s="42" t="n">
        <v>3</v>
      </c>
      <c r="J30" s="22" t="inlineStr"/>
      <c r="K30" s="10" t="inlineStr">
        <is>
          <t>Not Started</t>
        </is>
      </c>
      <c r="L30" s="22" t="inlineStr">
        <is>
          <t>Hoang</t>
        </is>
      </c>
      <c r="M30" s="23" t="inlineStr">
        <is>
          <t>Request: {id, type, payload}; Response: {id, status, result} or {id, status, error}; thread-safe</t>
        </is>
      </c>
    </row>
    <row r="31" ht="45" customHeight="1">
      <c r="A31" s="43" t="inlineStr">
        <is>
          <t>2.M3.T6</t>
        </is>
      </c>
      <c r="B31" s="20" t="inlineStr">
        <is>
          <t xml:space="preserve">    Python worker: Ollama HTTP client integration</t>
        </is>
      </c>
      <c r="C31" s="19" t="inlineStr">
        <is>
          <t>TASK</t>
        </is>
      </c>
      <c r="D31" s="19" t="inlineStr"/>
      <c r="E31" s="19" t="inlineStr"/>
      <c r="F31" s="44" t="n"/>
      <c r="G31" s="44" t="n"/>
      <c r="H31" s="44" t="n"/>
      <c r="I31" s="45" t="n">
        <v>2.5</v>
      </c>
      <c r="J31" s="19" t="inlineStr"/>
      <c r="K31" s="10" t="inlineStr">
        <is>
          <t>Not Started</t>
        </is>
      </c>
      <c r="L31" s="19" t="inlineStr">
        <is>
          <t>Hoang</t>
        </is>
      </c>
      <c r="M31" s="20" t="inlineStr">
        <is>
          <t>Call Ollama REST API (/api/generate); pass model name from config; handle timeout; verify model loaded</t>
        </is>
      </c>
    </row>
    <row r="32" ht="45" customHeight="1">
      <c r="A32" s="40" t="inlineStr">
        <is>
          <t>2.M3.T7</t>
        </is>
      </c>
      <c r="B32" s="23" t="inlineStr">
        <is>
          <t xml:space="preserve">    Python worker: XGrammar JSON schema enforcement on LLM output</t>
        </is>
      </c>
      <c r="C32" s="22" t="inlineStr">
        <is>
          <t>TASK</t>
        </is>
      </c>
      <c r="D32" s="22" t="inlineStr"/>
      <c r="E32" s="22" t="inlineStr"/>
      <c r="F32" s="41" t="n"/>
      <c r="G32" s="41" t="n"/>
      <c r="H32" s="41" t="n"/>
      <c r="I32" s="42" t="n">
        <v>3</v>
      </c>
      <c r="J32" s="22" t="inlineStr"/>
      <c r="K32" s="10" t="inlineStr">
        <is>
          <t>Not Started</t>
        </is>
      </c>
      <c r="L32" s="22" t="inlineStr">
        <is>
          <t>Hoang</t>
        </is>
      </c>
      <c r="M32" s="23" t="inlineStr">
        <is>
          <t>Verdict JSON schema: {verified: bool, confidence: float, rationale: str}; XGrammar enforces at generation time</t>
        </is>
      </c>
    </row>
    <row r="33" ht="45" customHeight="1">
      <c r="A33" s="43" t="inlineStr">
        <is>
          <t>2.M3.T8</t>
        </is>
      </c>
      <c r="B33" s="20" t="inlineStr">
        <is>
          <t xml:space="preserve">    Taint-flow prompt template</t>
        </is>
      </c>
      <c r="C33" s="19" t="inlineStr">
        <is>
          <t>TASK</t>
        </is>
      </c>
      <c r="D33" s="19" t="inlineStr"/>
      <c r="E33" s="19" t="inlineStr"/>
      <c r="F33" s="44" t="n"/>
      <c r="G33" s="44" t="n"/>
      <c r="H33" s="44" t="n"/>
      <c r="I33" s="45" t="n">
        <v>3.5</v>
      </c>
      <c r="J33" s="19" t="inlineStr"/>
      <c r="K33" s="10" t="inlineStr">
        <is>
          <t>Not Started</t>
        </is>
      </c>
      <c r="L33" s="19" t="inlineStr">
        <is>
          <t>Hoang</t>
        </is>
      </c>
      <c r="M33" s="20" t="inlineStr">
        <is>
          <t>Template inputs: taint flow path, sink type, reachability condition, sanitizer gaps; test with 5+ real taint flows</t>
        </is>
      </c>
    </row>
    <row r="34" ht="45" customHeight="1">
      <c r="A34" s="40" t="inlineStr">
        <is>
          <t>2.M3.T9</t>
        </is>
      </c>
      <c r="B34" s="23" t="inlineStr">
        <is>
          <t xml:space="preserve">    Verdict routing back to Go Finding channel</t>
        </is>
      </c>
      <c r="C34" s="22" t="inlineStr">
        <is>
          <t>TASK</t>
        </is>
      </c>
      <c r="D34" s="22" t="inlineStr"/>
      <c r="E34" s="22" t="inlineStr"/>
      <c r="F34" s="41" t="n"/>
      <c r="G34" s="41" t="n"/>
      <c r="H34" s="41" t="n"/>
      <c r="I34" s="42" t="n">
        <v>2</v>
      </c>
      <c r="J34" s="22" t="inlineStr"/>
      <c r="K34" s="10" t="inlineStr">
        <is>
          <t>Not Started</t>
        </is>
      </c>
      <c r="L34" s="22" t="inlineStr">
        <is>
          <t>Hoang</t>
        </is>
      </c>
      <c r="M34" s="23" t="inlineStr">
        <is>
          <t>verified=true -&gt; write Finding to channel; verified=false -&gt; discard; confidence score written to Finding.Confidence</t>
        </is>
      </c>
    </row>
    <row r="35" ht="45" customHeight="1">
      <c r="A35" s="43" t="inlineStr">
        <is>
          <t>2.M3.T10</t>
        </is>
      </c>
      <c r="B35" s="20" t="inlineStr">
        <is>
          <t xml:space="preserve">    Latency benchmark: per-finding round-trip time</t>
        </is>
      </c>
      <c r="C35" s="19" t="inlineStr">
        <is>
          <t>TASK</t>
        </is>
      </c>
      <c r="D35" s="19" t="inlineStr"/>
      <c r="E35" s="19" t="inlineStr"/>
      <c r="F35" s="44" t="n"/>
      <c r="G35" s="44" t="n"/>
      <c r="H35" s="44" t="n"/>
      <c r="I35" s="45" t="n">
        <v>2</v>
      </c>
      <c r="J35" s="19" t="inlineStr"/>
      <c r="K35" s="10" t="inlineStr">
        <is>
          <t>Not Started</t>
        </is>
      </c>
      <c r="L35" s="19" t="inlineStr">
        <is>
          <t>Hoang</t>
        </is>
      </c>
      <c r="M35" s="20" t="inlineStr">
        <is>
          <t>Target: &lt; 2s per finding (Go send -&gt; Python -&gt; Ollama -&gt; XGrammar -&gt; Go receive); log p50/p95</t>
        </is>
      </c>
    </row>
    <row r="36" ht="45" customHeight="1">
      <c r="A36" s="40" t="inlineStr">
        <is>
          <t>2.M3.T11</t>
        </is>
      </c>
      <c r="B36" s="23" t="inlineStr">
        <is>
          <t xml:space="preserve">    Accuracy test: TP/FP rate on synthetic taint findings</t>
        </is>
      </c>
      <c r="C36" s="22" t="inlineStr">
        <is>
          <t>TASK</t>
        </is>
      </c>
      <c r="D36" s="22" t="inlineStr"/>
      <c r="E36" s="22" t="inlineStr"/>
      <c r="F36" s="41" t="n"/>
      <c r="G36" s="41" t="n"/>
      <c r="H36" s="41" t="n"/>
      <c r="I36" s="42" t="n">
        <v>2.8</v>
      </c>
      <c r="J36" s="22" t="inlineStr"/>
      <c r="K36" s="10" t="inlineStr">
        <is>
          <t>Not Started</t>
        </is>
      </c>
      <c r="L36" s="22" t="inlineStr">
        <is>
          <t>Hoang</t>
        </is>
      </c>
      <c r="M36" s="23" t="inlineStr">
        <is>
          <t>Run LLM Verifier on taint findings from M2.2; target &gt;= 88% FP reduction; record as A-18 pre-check</t>
        </is>
      </c>
    </row>
    <row r="37" ht="5" customHeight="1"/>
    <row r="38" ht="40" customHeight="1">
      <c r="A38" s="4" t="inlineStr">
        <is>
          <t>2.M4</t>
        </is>
      </c>
      <c r="B38" s="34" t="inlineStr">
        <is>
          <t>Path A Integration Test Suite</t>
        </is>
      </c>
      <c r="C38" s="4" t="inlineStr">
        <is>
          <t>MILESTONE</t>
        </is>
      </c>
      <c r="D38" s="4" t="inlineStr">
        <is>
          <t>2026-07-16</t>
        </is>
      </c>
      <c r="E38" s="4" t="inlineStr">
        <is>
          <t>2026-07-18</t>
        </is>
      </c>
      <c r="F38" s="35" t="n">
        <v>6</v>
      </c>
      <c r="G38" s="35" t="n">
        <v>10</v>
      </c>
      <c r="H38" s="35" t="n">
        <v>16</v>
      </c>
      <c r="I38" s="36" t="n">
        <v>10.3</v>
      </c>
      <c r="J38" s="4" t="inlineStr"/>
      <c r="K38" s="4" t="inlineStr">
        <is>
          <t>Not Started</t>
        </is>
      </c>
      <c r="L38" s="4" t="inlineStr"/>
      <c r="M38" s="34" t="inlineStr">
        <is>
          <t>Natural pause point before G3; Joern CPG confirmed as shared infra; mentor review can be scheduled here</t>
        </is>
      </c>
    </row>
    <row r="39" ht="45" customHeight="1">
      <c r="A39" s="43" t="inlineStr">
        <is>
          <t>2.M4.T1</t>
        </is>
      </c>
      <c r="B39" s="20" t="inlineStr">
        <is>
          <t xml:space="preserve">    Synthetic test case set: 10+ vulnerable functions (one per CWE class)</t>
        </is>
      </c>
      <c r="C39" s="19" t="inlineStr">
        <is>
          <t>TASK</t>
        </is>
      </c>
      <c r="D39" s="19" t="inlineStr"/>
      <c r="E39" s="19" t="inlineStr"/>
      <c r="F39" s="44" t="n"/>
      <c r="G39" s="44" t="n"/>
      <c r="H39" s="44" t="n"/>
      <c r="I39" s="45" t="n">
        <v>3</v>
      </c>
      <c r="J39" s="19" t="inlineStr"/>
      <c r="K39" s="10" t="inlineStr">
        <is>
          <t>Not Started</t>
        </is>
      </c>
      <c r="L39" s="19" t="inlineStr">
        <is>
          <t>Hoang</t>
        </is>
      </c>
      <c r="M39" s="20" t="inlineStr">
        <is>
          <t>CWE classes: CWE-89 SQL injection, CWE-78 OS command injection, CWE-22 path traversal, CWE-502 deserialization, CWE-611 XXE, CWE-918 SSRF, CWE-79 XSS, CWE-327 weak crypto, CWE-798 hardcoded creds, CWE-94 code injection</t>
        </is>
      </c>
    </row>
    <row r="40" ht="45" customHeight="1">
      <c r="A40" s="40" t="inlineStr">
        <is>
          <t>2.M4.T2</t>
        </is>
      </c>
      <c r="B40" s="23" t="inlineStr">
        <is>
          <t xml:space="preserve">    End-to-end pipeline run (ingestion -&gt; Joern -&gt; taint -&gt; LLM Verifier -&gt; Finding output)</t>
        </is>
      </c>
      <c r="C40" s="22" t="inlineStr">
        <is>
          <t>TASK</t>
        </is>
      </c>
      <c r="D40" s="22" t="inlineStr"/>
      <c r="E40" s="22" t="inlineStr"/>
      <c r="F40" s="41" t="n"/>
      <c r="G40" s="41" t="n"/>
      <c r="H40" s="41" t="n"/>
      <c r="I40" s="42" t="n">
        <v>2</v>
      </c>
      <c r="J40" s="22" t="inlineStr"/>
      <c r="K40" s="10" t="inlineStr">
        <is>
          <t>Not Started</t>
        </is>
      </c>
      <c r="L40" s="22" t="inlineStr">
        <is>
          <t>Hoang</t>
        </is>
      </c>
      <c r="M40" s="23" t="inlineStr">
        <is>
          <t>Single `zerotrust scan ./test-codebase` command; all 10+ CWE cases must produce Findings</t>
        </is>
      </c>
    </row>
    <row r="41" ht="45" customHeight="1">
      <c r="A41" s="43" t="inlineStr">
        <is>
          <t>2.M4.T3</t>
        </is>
      </c>
      <c r="B41" s="20" t="inlineStr">
        <is>
          <t xml:space="preserve">    Precision/recall baseline measurement</t>
        </is>
      </c>
      <c r="C41" s="19" t="inlineStr">
        <is>
          <t>TASK</t>
        </is>
      </c>
      <c r="D41" s="19" t="inlineStr"/>
      <c r="E41" s="19" t="inlineStr"/>
      <c r="F41" s="44" t="n"/>
      <c r="G41" s="44" t="n"/>
      <c r="H41" s="44" t="n"/>
      <c r="I41" s="45" t="n">
        <v>2</v>
      </c>
      <c r="J41" s="19" t="inlineStr"/>
      <c r="K41" s="10" t="inlineStr">
        <is>
          <t>Not Started</t>
        </is>
      </c>
      <c r="L41" s="19" t="inlineStr">
        <is>
          <t>Hoang</t>
        </is>
      </c>
      <c r="M41" s="20" t="inlineStr">
        <is>
          <t>Record in docs/benchmarks/g2_baseline.md; this is the baseline G3 Path B will improve on</t>
        </is>
      </c>
    </row>
    <row r="42" ht="45" customHeight="1">
      <c r="A42" s="40" t="inlineStr">
        <is>
          <t>2.M4.T4</t>
        </is>
      </c>
      <c r="B42" s="23" t="inlineStr">
        <is>
          <t xml:space="preserve">    Integration break fixes</t>
        </is>
      </c>
      <c r="C42" s="22" t="inlineStr">
        <is>
          <t>TASK</t>
        </is>
      </c>
      <c r="D42" s="22" t="inlineStr"/>
      <c r="E42" s="22" t="inlineStr"/>
      <c r="F42" s="41" t="n"/>
      <c r="G42" s="41" t="n"/>
      <c r="H42" s="41" t="n"/>
      <c r="I42" s="42" t="n">
        <v>2</v>
      </c>
      <c r="J42" s="22" t="inlineStr"/>
      <c r="K42" s="10" t="inlineStr">
        <is>
          <t>Not Started</t>
        </is>
      </c>
      <c r="L42" s="22" t="inlineStr">
        <is>
          <t>Hoang</t>
        </is>
      </c>
      <c r="M42" s="23" t="inlineStr">
        <is>
          <t>Resolve any failures found in T2/T3; if a fix takes &gt; 4h, escalate as At Risk and consume buffer</t>
        </is>
      </c>
    </row>
    <row r="43" ht="45" customHeight="1">
      <c r="A43" s="43" t="inlineStr">
        <is>
          <t>2.M4.T5</t>
        </is>
      </c>
      <c r="B43" s="20" t="inlineStr">
        <is>
          <t xml:space="preserve">    Performance profiling: full scan time on 5K LOC synthetic codebase</t>
        </is>
      </c>
      <c r="C43" s="19" t="inlineStr">
        <is>
          <t>TASK</t>
        </is>
      </c>
      <c r="D43" s="19" t="inlineStr"/>
      <c r="E43" s="19" t="inlineStr"/>
      <c r="F43" s="44" t="n"/>
      <c r="G43" s="44" t="n"/>
      <c r="H43" s="44" t="n"/>
      <c r="I43" s="45" t="n">
        <v>1.3</v>
      </c>
      <c r="J43" s="19" t="inlineStr"/>
      <c r="K43" s="10" t="inlineStr">
        <is>
          <t>Not Started</t>
        </is>
      </c>
      <c r="L43" s="19" t="inlineStr">
        <is>
          <t>Hoang</t>
        </is>
      </c>
      <c r="M43" s="20" t="inlineStr">
        <is>
          <t>Measure: CPG build time, taint query time, LLM Verifier time, total wall clock; target total &lt; 5 min on 5K LOC</t>
        </is>
      </c>
    </row>
    <row r="44" ht="5" customHeight="1"/>
    <row r="45" ht="40" customHeight="1">
      <c r="A45" s="46" t="inlineStr">
        <is>
          <t>2.BUF</t>
        </is>
      </c>
      <c r="B45" s="47" t="inlineStr">
        <is>
          <t>G2 Buffer</t>
        </is>
      </c>
      <c r="C45" s="46" t="inlineStr">
        <is>
          <t>BUFFER</t>
        </is>
      </c>
      <c r="D45" s="46" t="inlineStr">
        <is>
          <t>2026-06-30</t>
        </is>
      </c>
      <c r="E45" s="46" t="inlineStr">
        <is>
          <t>2026-07-18</t>
        </is>
      </c>
      <c r="F45" s="48" t="n"/>
      <c r="G45" s="48" t="n"/>
      <c r="H45" s="48" t="n"/>
      <c r="I45" s="49" t="n">
        <v>13</v>
      </c>
      <c r="J45" s="46" t="inlineStr"/>
      <c r="K45" s="46" t="inlineStr"/>
      <c r="L45" s="46" t="inlineStr"/>
      <c r="M45" s="47" t="inlineStr">
        <is>
          <t>Primary risk: R-01 Joern env setup surprises (OOM, Scala DSL learning curve); secondary: mentor review cycle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7" customWidth="1" min="11" max="11"/>
    <col width="10" customWidth="1" min="12" max="12"/>
    <col width="38" customWidth="1" min="13" max="13"/>
  </cols>
  <sheetData>
    <row r="1" ht="50" customHeight="1">
      <c r="A1" s="1" t="inlineStr">
        <is>
          <t>ZeroTrust.sh  ·  G3 — Path B: Three-Tier Semantic Cost Funnel</t>
        </is>
      </c>
    </row>
    <row r="2" ht="22" customHeight="1">
      <c r="A2" s="2" t="inlineStr">
        <is>
          <t>Intern: Ton Minh Hoang  ·  VNG ZingPlay Studio  ·  Goal: Heuristic Targeting + UniXcoder + Semantic Summarizer + LLM ReAct  ·  Deadline: 2026-08-01</t>
        </is>
      </c>
    </row>
    <row r="3" ht="6" customHeight="1"/>
    <row r="4" ht="50" customHeight="1">
      <c r="A4" s="4" t="inlineStr">
        <is>
          <t>ID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Start Date</t>
        </is>
      </c>
      <c r="E4" s="4" t="inlineStr">
        <is>
          <t>End Date</t>
        </is>
      </c>
      <c r="F4" s="4" t="inlineStr">
        <is>
          <t>PERT O (h)</t>
        </is>
      </c>
      <c r="G4" s="4" t="inlineStr">
        <is>
          <t>PERT ML (h)</t>
        </is>
      </c>
      <c r="H4" s="4" t="inlineStr">
        <is>
          <t>PERT P (h)</t>
        </is>
      </c>
      <c r="I4" s="4" t="inlineStr">
        <is>
          <t>PERT E (h)</t>
        </is>
      </c>
      <c r="J4" s="4" t="inlineStr">
        <is>
          <t>Actual Hrs</t>
        </is>
      </c>
      <c r="K4" s="4" t="inlineStr">
        <is>
          <t>Status</t>
        </is>
      </c>
      <c r="L4" s="4" t="inlineStr">
        <is>
          <t>Owner</t>
        </is>
      </c>
      <c r="M4" s="4" t="inlineStr">
        <is>
          <t>Notes</t>
        </is>
      </c>
    </row>
    <row r="5" ht="40" customHeight="1">
      <c r="A5" s="4" t="inlineStr">
        <is>
          <t>3.M1</t>
        </is>
      </c>
      <c r="B5" s="34" t="inlineStr">
        <is>
          <t>Heuristic Targeting + Call Graph + CVE Enrichment</t>
        </is>
      </c>
      <c r="C5" s="4" t="inlineStr">
        <is>
          <t>MILESTONE</t>
        </is>
      </c>
      <c r="D5" s="4" t="inlineStr">
        <is>
          <t>2026-07-21</t>
        </is>
      </c>
      <c r="E5" s="4" t="inlineStr">
        <is>
          <t>2026-07-25</t>
        </is>
      </c>
      <c r="F5" s="35" t="n">
        <v>12</v>
      </c>
      <c r="G5" s="35" t="n">
        <v>18</v>
      </c>
      <c r="H5" s="35" t="n">
        <v>28</v>
      </c>
      <c r="I5" s="36" t="n">
        <v>18.7</v>
      </c>
      <c r="J5" s="4" t="inlineStr"/>
      <c r="K5" s="4" t="inlineStr">
        <is>
          <t>Not Started</t>
        </is>
      </c>
      <c r="L5" s="4" t="inlineStr"/>
      <c r="M5" s="34" t="inlineStr">
        <is>
          <t>Reads Joern CPG from G2 (no re-parse); Trivy replaced by OSV-Scanner (CVE-2026-33634 supply chain compromise)</t>
        </is>
      </c>
    </row>
    <row r="6" ht="45" customHeight="1">
      <c r="A6" s="40" t="inlineStr">
        <is>
          <t>3.M1.T1</t>
        </is>
      </c>
      <c r="B6" s="23" t="inlineStr">
        <is>
          <t xml:space="preserve">    CPG node-type queries — external-input nodes</t>
        </is>
      </c>
      <c r="C6" s="22" t="inlineStr">
        <is>
          <t>TASK</t>
        </is>
      </c>
      <c r="D6" s="22" t="inlineStr"/>
      <c r="E6" s="22" t="inlineStr"/>
      <c r="F6" s="41" t="n"/>
      <c r="G6" s="41" t="n"/>
      <c r="H6" s="41" t="n"/>
      <c r="I6" s="42" t="n">
        <v>2.5</v>
      </c>
      <c r="J6" s="22" t="inlineStr"/>
      <c r="K6" s="10" t="inlineStr">
        <is>
          <t>Not Started</t>
        </is>
      </c>
      <c r="L6" s="22" t="inlineStr">
        <is>
          <t>Hoang</t>
        </is>
      </c>
      <c r="M6" s="23" t="inlineStr">
        <is>
          <t>Query CPG for HTTP params, env vars, file reads, stdin, deserialized objects; language-agnostic via shared CPG schema</t>
        </is>
      </c>
    </row>
    <row r="7" ht="45" customHeight="1">
      <c r="A7" s="43" t="inlineStr">
        <is>
          <t>3.M1.T2</t>
        </is>
      </c>
      <c r="B7" s="20" t="inlineStr">
        <is>
          <t xml:space="preserve">    CPG node-type queries — auth-boundary nodes</t>
        </is>
      </c>
      <c r="C7" s="19" t="inlineStr">
        <is>
          <t>TASK</t>
        </is>
      </c>
      <c r="D7" s="19" t="inlineStr"/>
      <c r="E7" s="19" t="inlineStr"/>
      <c r="F7" s="44" t="n"/>
      <c r="G7" s="44" t="n"/>
      <c r="H7" s="44" t="n"/>
      <c r="I7" s="45" t="n">
        <v>2</v>
      </c>
      <c r="J7" s="19" t="inlineStr"/>
      <c r="K7" s="10" t="inlineStr">
        <is>
          <t>Not Started</t>
        </is>
      </c>
      <c r="L7" s="19" t="inlineStr">
        <is>
          <t>Hoang</t>
        </is>
      </c>
      <c r="M7" s="20" t="inlineStr">
        <is>
          <t>Identify authentication/authorization check points; missing guard detection starts here</t>
        </is>
      </c>
    </row>
    <row r="8" ht="45" customHeight="1">
      <c r="A8" s="40" t="inlineStr">
        <is>
          <t>3.M1.T3</t>
        </is>
      </c>
      <c r="B8" s="23" t="inlineStr">
        <is>
          <t xml:space="preserve">    CPG node-type queries — AI agent config file nodes</t>
        </is>
      </c>
      <c r="C8" s="22" t="inlineStr">
        <is>
          <t>TASK</t>
        </is>
      </c>
      <c r="D8" s="22" t="inlineStr"/>
      <c r="E8" s="22" t="inlineStr"/>
      <c r="F8" s="41" t="n"/>
      <c r="G8" s="41" t="n"/>
      <c r="H8" s="41" t="n"/>
      <c r="I8" s="42" t="n">
        <v>2</v>
      </c>
      <c r="J8" s="22" t="inlineStr"/>
      <c r="K8" s="10" t="inlineStr">
        <is>
          <t>Not Started</t>
        </is>
      </c>
      <c r="L8" s="22" t="inlineStr">
        <is>
          <t>Hoang</t>
        </is>
      </c>
      <c r="M8" s="23" t="inlineStr">
        <is>
          <t>MCP configs, .cursor/rules, AGENTS.md, CLAUDE.md, GEMINI.md; unique detection surface</t>
        </is>
      </c>
    </row>
    <row r="9" ht="45" customHeight="1">
      <c r="A9" s="43" t="inlineStr">
        <is>
          <t>3.M1.T4</t>
        </is>
      </c>
      <c r="B9" s="20" t="inlineStr">
        <is>
          <t xml:space="preserve">    Call graph extraction from Joern CPG</t>
        </is>
      </c>
      <c r="C9" s="19" t="inlineStr">
        <is>
          <t>TASK</t>
        </is>
      </c>
      <c r="D9" s="19" t="inlineStr"/>
      <c r="E9" s="19" t="inlineStr"/>
      <c r="F9" s="44" t="n"/>
      <c r="G9" s="44" t="n"/>
      <c r="H9" s="44" t="n"/>
      <c r="I9" s="45" t="n">
        <v>3</v>
      </c>
      <c r="J9" s="19" t="inlineStr"/>
      <c r="K9" s="10" t="inlineStr">
        <is>
          <t>Not Started</t>
        </is>
      </c>
      <c r="L9" s="19" t="inlineStr">
        <is>
          <t>Hoang</t>
        </is>
      </c>
      <c r="M9" s="20" t="inlineStr">
        <is>
          <t>No separate build step — call graph comes from CPG built in G2; extract caller/callee edges; output: Go CallGraph struct</t>
        </is>
      </c>
    </row>
    <row r="10" ht="45" customHeight="1">
      <c r="A10" s="40" t="inlineStr">
        <is>
          <t>3.M1.T5</t>
        </is>
      </c>
      <c r="B10" s="23" t="inlineStr">
        <is>
          <t xml:space="preserve">    OSV-Scanner Go library integration (github.com/google/osv-scanner/v2)</t>
        </is>
      </c>
      <c r="C10" s="22" t="inlineStr">
        <is>
          <t>TASK</t>
        </is>
      </c>
      <c r="D10" s="22" t="inlineStr"/>
      <c r="E10" s="22" t="inlineStr"/>
      <c r="F10" s="41" t="n"/>
      <c r="G10" s="41" t="n"/>
      <c r="H10" s="41" t="n"/>
      <c r="I10" s="42" t="n">
        <v>3</v>
      </c>
      <c r="J10" s="22" t="inlineStr"/>
      <c r="K10" s="10" t="inlineStr">
        <is>
          <t>Not Started</t>
        </is>
      </c>
      <c r="L10" s="22" t="inlineStr">
        <is>
          <t>Hoang</t>
        </is>
      </c>
      <c r="M10" s="23" t="inlineStr">
        <is>
          <t>Direct Go import — no subprocess; scan dependency manifests (go.mod, requirements.txt, pom.xml, package.json)</t>
        </is>
      </c>
    </row>
    <row r="11" ht="45" customHeight="1">
      <c r="A11" s="43" t="inlineStr">
        <is>
          <t>3.M1.T6</t>
        </is>
      </c>
      <c r="B11" s="20" t="inlineStr">
        <is>
          <t xml:space="preserve">    CVE exact-match auto-flag + routing to findings</t>
        </is>
      </c>
      <c r="C11" s="19" t="inlineStr">
        <is>
          <t>TASK</t>
        </is>
      </c>
      <c r="D11" s="19" t="inlineStr"/>
      <c r="E11" s="19" t="inlineStr"/>
      <c r="F11" s="44" t="n"/>
      <c r="G11" s="44" t="n"/>
      <c r="H11" s="44" t="n"/>
      <c r="I11" s="45" t="n">
        <v>2</v>
      </c>
      <c r="J11" s="19" t="inlineStr"/>
      <c r="K11" s="10" t="inlineStr">
        <is>
          <t>Not Started</t>
        </is>
      </c>
      <c r="L11" s="19" t="inlineStr">
        <is>
          <t>Hoang</t>
        </is>
      </c>
      <c r="M11" s="20" t="inlineStr">
        <is>
          <t>If OSV-Scanner returns exact CVE match -&gt; write Finding directly with severity from CVSS; skip further analysis</t>
        </is>
      </c>
    </row>
    <row r="12" ht="45" customHeight="1">
      <c r="A12" s="40" t="inlineStr">
        <is>
          <t>3.M1.T7</t>
        </is>
      </c>
      <c r="B12" s="23" t="inlineStr">
        <is>
          <t xml:space="preserve">    BOLAZ zero-trust resource ID dataflow flagging</t>
        </is>
      </c>
      <c r="C12" s="22" t="inlineStr">
        <is>
          <t>TASK</t>
        </is>
      </c>
      <c r="D12" s="22" t="inlineStr"/>
      <c r="E12" s="22" t="inlineStr"/>
      <c r="F12" s="41" t="n"/>
      <c r="G12" s="41" t="n"/>
      <c r="H12" s="41" t="n"/>
      <c r="I12" s="42" t="n">
        <v>2.5</v>
      </c>
      <c r="J12" s="22" t="inlineStr"/>
      <c r="K12" s="10" t="inlineStr">
        <is>
          <t>Not Started</t>
        </is>
      </c>
      <c r="L12" s="22" t="inlineStr">
        <is>
          <t>Hoang</t>
        </is>
      </c>
      <c r="M12" s="23" t="inlineStr">
        <is>
          <t>Flag all external IDs as untrustworthy until explicit authorization confirmed at each function boundary; targets IDOR/BOLA</t>
        </is>
      </c>
    </row>
    <row r="13" ht="45" customHeight="1">
      <c r="A13" s="43" t="inlineStr">
        <is>
          <t>3.M1.T8</t>
        </is>
      </c>
      <c r="B13" s="20" t="inlineStr">
        <is>
          <t xml:space="preserve">    Surface list output format for downstream classifier</t>
        </is>
      </c>
      <c r="C13" s="19" t="inlineStr">
        <is>
          <t>TASK</t>
        </is>
      </c>
      <c r="D13" s="19" t="inlineStr"/>
      <c r="E13" s="19" t="inlineStr"/>
      <c r="F13" s="44" t="n"/>
      <c r="G13" s="44" t="n"/>
      <c r="H13" s="44" t="n"/>
      <c r="I13" s="45" t="n">
        <v>1.7</v>
      </c>
      <c r="J13" s="19" t="inlineStr"/>
      <c r="K13" s="10" t="inlineStr">
        <is>
          <t>Not Started</t>
        </is>
      </c>
      <c r="L13" s="19" t="inlineStr">
        <is>
          <t>Hoang</t>
        </is>
      </c>
      <c r="M13" s="20" t="inlineStr">
        <is>
          <t>Struct: Surface{ID, File, FunctionName, NodeType, CallGraphDepth, CVEMatches}; passed to M3.2 classifier</t>
        </is>
      </c>
    </row>
    <row r="14" ht="5" customHeight="1"/>
    <row r="15" ht="40" customHeight="1">
      <c r="A15" s="4" t="inlineStr">
        <is>
          <t>3.M2</t>
        </is>
      </c>
      <c r="B15" s="34" t="inlineStr">
        <is>
          <t>UniXcoder Classifier Gate</t>
        </is>
      </c>
      <c r="C15" s="4" t="inlineStr">
        <is>
          <t>MILESTONE</t>
        </is>
      </c>
      <c r="D15" s="4" t="inlineStr">
        <is>
          <t>2026-07-25</t>
        </is>
      </c>
      <c r="E15" s="4" t="inlineStr">
        <is>
          <t>2026-07-28</t>
        </is>
      </c>
      <c r="F15" s="35" t="n">
        <v>12</v>
      </c>
      <c r="G15" s="35" t="n">
        <v>18</v>
      </c>
      <c r="H15" s="35" t="n">
        <v>28</v>
      </c>
      <c r="I15" s="36" t="n">
        <v>18.7</v>
      </c>
      <c r="J15" s="4" t="inlineStr"/>
      <c r="K15" s="4" t="inlineStr">
        <is>
          <t>Not Started</t>
        </is>
      </c>
      <c r="L15" s="4" t="inlineStr"/>
      <c r="M15" s="34" t="inlineStr">
        <is>
          <t>Primary LLM cost gate; A-18 calibration point — measure real precision/recall on AI-generated code; window spans weekend</t>
        </is>
      </c>
    </row>
    <row r="16" ht="45" customHeight="1">
      <c r="A16" s="40" t="inlineStr">
        <is>
          <t>3.M2.T1</t>
        </is>
      </c>
      <c r="B16" s="23" t="inlineStr">
        <is>
          <t xml:space="preserve">    UniXcoder model load in Python worker (extend dispatcher)</t>
        </is>
      </c>
      <c r="C16" s="22" t="inlineStr">
        <is>
          <t>TASK</t>
        </is>
      </c>
      <c r="D16" s="22" t="inlineStr"/>
      <c r="E16" s="22" t="inlineStr"/>
      <c r="F16" s="41" t="n"/>
      <c r="G16" s="41" t="n"/>
      <c r="H16" s="41" t="n"/>
      <c r="I16" s="42" t="n">
        <v>2.5</v>
      </c>
      <c r="J16" s="22" t="inlineStr"/>
      <c r="K16" s="10" t="inlineStr">
        <is>
          <t>Not Started</t>
        </is>
      </c>
      <c r="L16" s="22" t="inlineStr">
        <is>
          <t>Hoang</t>
        </is>
      </c>
      <c r="M16" s="23" t="inlineStr">
        <is>
          <t>Add `classify` type handler to Python worker from G2; load UniXcoder-Base-Nine via transformers; pin model version</t>
        </is>
      </c>
    </row>
    <row r="17" ht="45" customHeight="1">
      <c r="A17" s="43" t="inlineStr">
        <is>
          <t>3.M2.T2</t>
        </is>
      </c>
      <c r="B17" s="20" t="inlineStr">
        <is>
          <t xml:space="preserve">    Go IPC: classify request/response type handling</t>
        </is>
      </c>
      <c r="C17" s="19" t="inlineStr">
        <is>
          <t>TASK</t>
        </is>
      </c>
      <c r="D17" s="19" t="inlineStr"/>
      <c r="E17" s="19" t="inlineStr"/>
      <c r="F17" s="44" t="n"/>
      <c r="G17" s="44" t="n"/>
      <c r="H17" s="44" t="n"/>
      <c r="I17" s="45" t="n">
        <v>2</v>
      </c>
      <c r="J17" s="19" t="inlineStr"/>
      <c r="K17" s="10" t="inlineStr">
        <is>
          <t>Not Started</t>
        </is>
      </c>
      <c r="L17" s="19" t="inlineStr">
        <is>
          <t>Hoang</t>
        </is>
      </c>
      <c r="M17" s="20" t="inlineStr">
        <is>
          <t>Send Surface struct as payload; receive {verdict: vulnerable/safe/uncertain, confidence: float}; reuse NDJSON protocol</t>
        </is>
      </c>
    </row>
    <row r="18" ht="45" customHeight="1">
      <c r="A18" s="40" t="inlineStr">
        <is>
          <t>3.M2.T3</t>
        </is>
      </c>
      <c r="B18" s="23" t="inlineStr">
        <is>
          <t xml:space="preserve">    Confidence threshold calibration (3-band classification)</t>
        </is>
      </c>
      <c r="C18" s="22" t="inlineStr">
        <is>
          <t>TASK</t>
        </is>
      </c>
      <c r="D18" s="22" t="inlineStr"/>
      <c r="E18" s="22" t="inlineStr"/>
      <c r="F18" s="41" t="n"/>
      <c r="G18" s="41" t="n"/>
      <c r="H18" s="41" t="n"/>
      <c r="I18" s="42" t="n">
        <v>3</v>
      </c>
      <c r="J18" s="22" t="inlineStr"/>
      <c r="K18" s="10" t="inlineStr">
        <is>
          <t>Not Started</t>
        </is>
      </c>
      <c r="L18" s="22" t="inlineStr">
        <is>
          <t>Hoang</t>
        </is>
      </c>
      <c r="M18" s="23" t="inlineStr">
        <is>
          <t>Tune thresholds: high-conf-safe (dismiss), high-conf-vulnerable (flag direct), uncertain (-&gt; LLM); target uncertain band = 15-25%</t>
        </is>
      </c>
    </row>
    <row r="19" ht="45" customHeight="1">
      <c r="A19" s="43" t="inlineStr">
        <is>
          <t>3.M2.T4</t>
        </is>
      </c>
      <c r="B19" s="20" t="inlineStr">
        <is>
          <t xml:space="preserve">    High-confidence-safe dismissal routing</t>
        </is>
      </c>
      <c r="C19" s="19" t="inlineStr">
        <is>
          <t>TASK</t>
        </is>
      </c>
      <c r="D19" s="19" t="inlineStr"/>
      <c r="E19" s="19" t="inlineStr"/>
      <c r="F19" s="44" t="n"/>
      <c r="G19" s="44" t="n"/>
      <c r="H19" s="44" t="n"/>
      <c r="I19" s="45" t="n">
        <v>1.5</v>
      </c>
      <c r="J19" s="19" t="inlineStr"/>
      <c r="K19" s="10" t="inlineStr">
        <is>
          <t>Not Started</t>
        </is>
      </c>
      <c r="L19" s="19" t="inlineStr">
        <is>
          <t>Hoang</t>
        </is>
      </c>
      <c r="M19" s="20" t="inlineStr">
        <is>
          <t>Surfaces below safe threshold -&gt; dropped silently; log count for cost funnel stats used in demo</t>
        </is>
      </c>
    </row>
    <row r="20" ht="45" customHeight="1">
      <c r="A20" s="40" t="inlineStr">
        <is>
          <t>3.M2.T5</t>
        </is>
      </c>
      <c r="B20" s="23" t="inlineStr">
        <is>
          <t xml:space="preserve">    High-confidence-vulnerable direct Finding flag routing</t>
        </is>
      </c>
      <c r="C20" s="22" t="inlineStr">
        <is>
          <t>TASK</t>
        </is>
      </c>
      <c r="D20" s="22" t="inlineStr"/>
      <c r="E20" s="22" t="inlineStr"/>
      <c r="F20" s="41" t="n"/>
      <c r="G20" s="41" t="n"/>
      <c r="H20" s="41" t="n"/>
      <c r="I20" s="42" t="n">
        <v>1.5</v>
      </c>
      <c r="J20" s="22" t="inlineStr"/>
      <c r="K20" s="10" t="inlineStr">
        <is>
          <t>Not Started</t>
        </is>
      </c>
      <c r="L20" s="22" t="inlineStr">
        <is>
          <t>Hoang</t>
        </is>
      </c>
      <c r="M20" s="23" t="inlineStr">
        <is>
          <t>Surfaces above vulnerable threshold -&gt; write Finding directly to channel; no LLM call; Source field = 'UniXcoder'</t>
        </is>
      </c>
    </row>
    <row r="21" ht="45" customHeight="1">
      <c r="A21" s="43" t="inlineStr">
        <is>
          <t>3.M2.T6</t>
        </is>
      </c>
      <c r="B21" s="20" t="inlineStr">
        <is>
          <t xml:space="preserve">    Unsupported-language bypass (Rust, Kotlin, Swift, C# -&gt; direct LLM)</t>
        </is>
      </c>
      <c r="C21" s="19" t="inlineStr">
        <is>
          <t>TASK</t>
        </is>
      </c>
      <c r="D21" s="19" t="inlineStr"/>
      <c r="E21" s="19" t="inlineStr"/>
      <c r="F21" s="44" t="n"/>
      <c r="G21" s="44" t="n"/>
      <c r="H21" s="44" t="n"/>
      <c r="I21" s="45" t="n">
        <v>1.5</v>
      </c>
      <c r="J21" s="19" t="inlineStr"/>
      <c r="K21" s="10" t="inlineStr">
        <is>
          <t>Not Started</t>
        </is>
      </c>
      <c r="L21" s="19" t="inlineStr">
        <is>
          <t>Hoang</t>
        </is>
      </c>
      <c r="M21" s="20" t="inlineStr">
        <is>
          <t>UniXcoder trained only on Python/Java/JS/TS/Go/Ruby/PHP; unsupported languages skip classifier</t>
        </is>
      </c>
    </row>
    <row r="22" ht="45" customHeight="1">
      <c r="A22" s="40" t="inlineStr">
        <is>
          <t>3.M2.T7</t>
        </is>
      </c>
      <c r="B22" s="23" t="inlineStr">
        <is>
          <t xml:space="preserve">    A-18 gap measurement: precision/recall on AI-generated code vs BigVul baseline</t>
        </is>
      </c>
      <c r="C22" s="22" t="inlineStr">
        <is>
          <t>TASK</t>
        </is>
      </c>
      <c r="D22" s="22" t="inlineStr"/>
      <c r="E22" s="22" t="inlineStr"/>
      <c r="F22" s="41" t="n"/>
      <c r="G22" s="41" t="n"/>
      <c r="H22" s="41" t="n"/>
      <c r="I22" s="42" t="n">
        <v>3.2</v>
      </c>
      <c r="J22" s="22" t="inlineStr"/>
      <c r="K22" s="10" t="inlineStr">
        <is>
          <t>Not Started</t>
        </is>
      </c>
      <c r="L22" s="22" t="inlineStr">
        <is>
          <t>Hoang</t>
        </is>
      </c>
      <c r="M22" s="23" t="inlineStr">
        <is>
          <t>Run classifier on test codebase (AI-generated code); record F1, precision, recall; compare to claimed F1=94.73% on BigVul</t>
        </is>
      </c>
    </row>
    <row r="23" ht="45" customHeight="1">
      <c r="A23" s="43" t="inlineStr">
        <is>
          <t>3.M2.T8</t>
        </is>
      </c>
      <c r="B23" s="20" t="inlineStr">
        <is>
          <t xml:space="preserve">    Classifier gate integration test: verify &lt; 25% of surfaces reach LLM tier</t>
        </is>
      </c>
      <c r="C23" s="19" t="inlineStr">
        <is>
          <t>TASK</t>
        </is>
      </c>
      <c r="D23" s="19" t="inlineStr"/>
      <c r="E23" s="19" t="inlineStr"/>
      <c r="F23" s="44" t="n"/>
      <c r="G23" s="44" t="n"/>
      <c r="H23" s="44" t="n"/>
      <c r="I23" s="45" t="n">
        <v>3.5</v>
      </c>
      <c r="J23" s="19" t="inlineStr"/>
      <c r="K23" s="10" t="inlineStr">
        <is>
          <t>Not Started</t>
        </is>
      </c>
      <c r="L23" s="19" t="inlineStr">
        <is>
          <t>Hoang</t>
        </is>
      </c>
      <c r="M23" s="20" t="inlineStr">
        <is>
          <t>Run full surface set through gate; assert uncertain band &lt;= 25%; if over, re-tune thresholds; log final funnel stats</t>
        </is>
      </c>
    </row>
    <row r="24" ht="5" customHeight="1"/>
    <row r="25" ht="40" customHeight="1">
      <c r="A25" s="4" t="inlineStr">
        <is>
          <t>3.M3</t>
        </is>
      </c>
      <c r="B25" s="34" t="inlineStr">
        <is>
          <t>Call Chain Context Assembler + Semantic Function Summarizer</t>
        </is>
      </c>
      <c r="C25" s="4" t="inlineStr">
        <is>
          <t>MILESTONE</t>
        </is>
      </c>
      <c r="D25" s="4" t="inlineStr">
        <is>
          <t>2026-07-28</t>
        </is>
      </c>
      <c r="E25" s="4" t="inlineStr">
        <is>
          <t>2026-07-31</t>
        </is>
      </c>
      <c r="F25" s="35" t="n">
        <v>12</v>
      </c>
      <c r="G25" s="35" t="n">
        <v>18</v>
      </c>
      <c r="H25" s="35" t="n">
        <v>28</v>
      </c>
      <c r="I25" s="36" t="n">
        <v>18.7</v>
      </c>
      <c r="J25" s="4" t="inlineStr"/>
      <c r="K25" s="4" t="inlineStr">
        <is>
          <t>Not Started</t>
        </is>
      </c>
      <c r="L25" s="4" t="inlineStr"/>
      <c r="M25" s="34" t="inlineStr">
        <is>
          <t>LLM never receives raw code — only semantic summaries; aligns with IRIS ICLR 2025 design</t>
        </is>
      </c>
    </row>
    <row r="26" ht="45" customHeight="1">
      <c r="A26" s="40" t="inlineStr">
        <is>
          <t>3.M3.T1</t>
        </is>
      </c>
      <c r="B26" s="23" t="inlineStr">
        <is>
          <t xml:space="preserve">    Call chain traversal to depth 3 from Joern CPG (caller -&gt; surface -&gt; callee)</t>
        </is>
      </c>
      <c r="C26" s="22" t="inlineStr">
        <is>
          <t>TASK</t>
        </is>
      </c>
      <c r="D26" s="22" t="inlineStr"/>
      <c r="E26" s="22" t="inlineStr"/>
      <c r="F26" s="41" t="n"/>
      <c r="G26" s="41" t="n"/>
      <c r="H26" s="41" t="n"/>
      <c r="I26" s="42" t="n">
        <v>4</v>
      </c>
      <c r="J26" s="22" t="inlineStr"/>
      <c r="K26" s="10" t="inlineStr">
        <is>
          <t>Not Started</t>
        </is>
      </c>
      <c r="L26" s="22" t="inlineStr">
        <is>
          <t>Hoang</t>
        </is>
      </c>
      <c r="M26" s="23" t="inlineStr">
        <is>
          <t>Use call graph from 3.M1.T4; traverse depth 3 max; return ordered list [caller, surface, callee]; handle recursive/missing nodes</t>
        </is>
      </c>
    </row>
    <row r="27" ht="45" customHeight="1">
      <c r="A27" s="43" t="inlineStr">
        <is>
          <t>3.M3.T2</t>
        </is>
      </c>
      <c r="B27" s="20" t="inlineStr">
        <is>
          <t xml:space="preserve">    Multi-function context assembly (structured call chain representation)</t>
        </is>
      </c>
      <c r="C27" s="19" t="inlineStr">
        <is>
          <t>TASK</t>
        </is>
      </c>
      <c r="D27" s="19" t="inlineStr"/>
      <c r="E27" s="19" t="inlineStr"/>
      <c r="F27" s="44" t="n"/>
      <c r="G27" s="44" t="n"/>
      <c r="H27" s="44" t="n"/>
      <c r="I27" s="45" t="n">
        <v>3</v>
      </c>
      <c r="J27" s="19" t="inlineStr"/>
      <c r="K27" s="10" t="inlineStr">
        <is>
          <t>Not Started</t>
        </is>
      </c>
      <c r="L27" s="19" t="inlineStr">
        <is>
          <t>Hoang</t>
        </is>
      </c>
      <c r="M27" s="20" t="inlineStr">
        <is>
          <t>Struct: CallChainContext{functions: []FunctionContext, entryPoint, depth}; FunctionContext: name, params, local vars, calls, return type</t>
        </is>
      </c>
    </row>
    <row r="28" ht="45" customHeight="1">
      <c r="A28" s="40" t="inlineStr">
        <is>
          <t>3.M3.T3</t>
        </is>
      </c>
      <c r="B28" s="23" t="inlineStr">
        <is>
          <t xml:space="preserve">    Semantic summary schema — taint-flow vulnerability class</t>
        </is>
      </c>
      <c r="C28" s="22" t="inlineStr">
        <is>
          <t>TASK</t>
        </is>
      </c>
      <c r="D28" s="22" t="inlineStr"/>
      <c r="E28" s="22" t="inlineStr"/>
      <c r="F28" s="41" t="n"/>
      <c r="G28" s="41" t="n"/>
      <c r="H28" s="41" t="n"/>
      <c r="I28" s="42" t="n">
        <v>2</v>
      </c>
      <c r="J28" s="22" t="inlineStr"/>
      <c r="K28" s="10" t="inlineStr">
        <is>
          <t>Not Started</t>
        </is>
      </c>
      <c r="L28" s="22" t="inlineStr">
        <is>
          <t>Hoang</t>
        </is>
      </c>
      <c r="M28" s="23" t="inlineStr">
        <is>
          <t>Fields: untrustedDataSource, sanitizersPresent[], sanitizerGaps[], sinkReached, sinkType</t>
        </is>
      </c>
    </row>
    <row r="29" ht="45" customHeight="1">
      <c r="A29" s="43" t="inlineStr">
        <is>
          <t>3.M3.T4</t>
        </is>
      </c>
      <c r="B29" s="20" t="inlineStr">
        <is>
          <t xml:space="preserve">    Semantic summary schema — auth-guard vulnerability class</t>
        </is>
      </c>
      <c r="C29" s="19" t="inlineStr">
        <is>
          <t>TASK</t>
        </is>
      </c>
      <c r="D29" s="19" t="inlineStr"/>
      <c r="E29" s="19" t="inlineStr"/>
      <c r="F29" s="44" t="n"/>
      <c r="G29" s="44" t="n"/>
      <c r="H29" s="44" t="n"/>
      <c r="I29" s="45" t="n">
        <v>2</v>
      </c>
      <c r="J29" s="19" t="inlineStr"/>
      <c r="K29" s="10" t="inlineStr">
        <is>
          <t>Not Started</t>
        </is>
      </c>
      <c r="L29" s="19" t="inlineStr">
        <is>
          <t>Hoang</t>
        </is>
      </c>
      <c r="M29" s="20" t="inlineStr">
        <is>
          <t>Fields: resourceAccessed, authCheckPresent, authCheckLocation, principalVerified; enables IDOR + missing auth guard detection</t>
        </is>
      </c>
    </row>
    <row r="30" ht="45" customHeight="1">
      <c r="A30" s="40" t="inlineStr">
        <is>
          <t>3.M3.T5</t>
        </is>
      </c>
      <c r="B30" s="23" t="inlineStr">
        <is>
          <t xml:space="preserve">    Semantic summary schema — logic-flaw vulnerability class</t>
        </is>
      </c>
      <c r="C30" s="22" t="inlineStr">
        <is>
          <t>TASK</t>
        </is>
      </c>
      <c r="D30" s="22" t="inlineStr"/>
      <c r="E30" s="22" t="inlineStr"/>
      <c r="F30" s="41" t="n"/>
      <c r="G30" s="41" t="n"/>
      <c r="H30" s="41" t="n"/>
      <c r="I30" s="42" t="n">
        <v>2</v>
      </c>
      <c r="J30" s="22" t="inlineStr"/>
      <c r="K30" s="10" t="inlineStr">
        <is>
          <t>Not Started</t>
        </is>
      </c>
      <c r="L30" s="22" t="inlineStr">
        <is>
          <t>Hoang</t>
        </is>
      </c>
      <c r="M30" s="23" t="inlineStr">
        <is>
          <t>Fields: businessConstraints[], stateTransitions[], enforcedAtBoundary; targets business logic and state machine flaws</t>
        </is>
      </c>
    </row>
    <row r="31" ht="45" customHeight="1">
      <c r="A31" s="43" t="inlineStr">
        <is>
          <t>3.M3.T6</t>
        </is>
      </c>
      <c r="B31" s="20" t="inlineStr">
        <is>
          <t xml:space="preserve">    Function-level semantic abstraction generation (Python worker call)</t>
        </is>
      </c>
      <c r="C31" s="19" t="inlineStr">
        <is>
          <t>TASK</t>
        </is>
      </c>
      <c r="D31" s="19" t="inlineStr"/>
      <c r="E31" s="19" t="inlineStr"/>
      <c r="F31" s="44" t="n"/>
      <c r="G31" s="44" t="n"/>
      <c r="H31" s="44" t="n"/>
      <c r="I31" s="45" t="n">
        <v>2.5</v>
      </c>
      <c r="J31" s="19" t="inlineStr"/>
      <c r="K31" s="10" t="inlineStr">
        <is>
          <t>Not Started</t>
        </is>
      </c>
      <c r="L31" s="19" t="inlineStr">
        <is>
          <t>Hoang</t>
        </is>
      </c>
      <c r="M31" s="20" t="inlineStr">
        <is>
          <t>For each FunctionContext in call chain: call Python worker with `summarize` type; assemble into SummarizedCallChain struct</t>
        </is>
      </c>
    </row>
    <row r="32" ht="45" customHeight="1">
      <c r="A32" s="40" t="inlineStr">
        <is>
          <t>3.M3.T7</t>
        </is>
      </c>
      <c r="B32" s="23" t="inlineStr">
        <is>
          <t xml:space="preserve">    Token footprint measurement before/after summarization</t>
        </is>
      </c>
      <c r="C32" s="22" t="inlineStr">
        <is>
          <t>TASK</t>
        </is>
      </c>
      <c r="D32" s="22" t="inlineStr"/>
      <c r="E32" s="22" t="inlineStr"/>
      <c r="F32" s="41" t="n"/>
      <c r="G32" s="41" t="n"/>
      <c r="H32" s="41" t="n"/>
      <c r="I32" s="42" t="n">
        <v>1.5</v>
      </c>
      <c r="J32" s="22" t="inlineStr"/>
      <c r="K32" s="10" t="inlineStr">
        <is>
          <t>Not Started</t>
        </is>
      </c>
      <c r="L32" s="22" t="inlineStr">
        <is>
          <t>Hoang</t>
        </is>
      </c>
      <c r="M32" s="23" t="inlineStr">
        <is>
          <t>Count tokens in raw call chain vs summarized version; target &gt;= 60% token reduction; log in docs/benchmarks/token_footprint.md</t>
        </is>
      </c>
    </row>
    <row r="33" ht="45" customHeight="1">
      <c r="A33" s="43" t="inlineStr">
        <is>
          <t>3.M3.T8</t>
        </is>
      </c>
      <c r="B33" s="20" t="inlineStr">
        <is>
          <t xml:space="preserve">    Multi-function vulnerability detection test (IDOR + missing auth guard)</t>
        </is>
      </c>
      <c r="C33" s="19" t="inlineStr">
        <is>
          <t>TASK</t>
        </is>
      </c>
      <c r="D33" s="19" t="inlineStr"/>
      <c r="E33" s="19" t="inlineStr"/>
      <c r="F33" s="44" t="n"/>
      <c r="G33" s="44" t="n"/>
      <c r="H33" s="44" t="n"/>
      <c r="I33" s="45" t="n">
        <v>1.7</v>
      </c>
      <c r="J33" s="19" t="inlineStr"/>
      <c r="K33" s="10" t="inlineStr">
        <is>
          <t>Not Started</t>
        </is>
      </c>
      <c r="L33" s="19" t="inlineStr">
        <is>
          <t>Hoang</t>
        </is>
      </c>
      <c r="M33" s="20" t="inlineStr">
        <is>
          <t>Synthetic test: IDOR case spanning caller (no auth check) + surface (uses external ID) + callee (DB lookup); assert detected</t>
        </is>
      </c>
    </row>
    <row r="34" ht="5" customHeight="1"/>
    <row r="35" ht="40" customHeight="1">
      <c r="A35" s="4" t="inlineStr">
        <is>
          <t>3.M4</t>
        </is>
      </c>
      <c r="B35" s="34" t="inlineStr">
        <is>
          <t>Token Budget Controller + LLM ReAct Scan + Scan Security Context Store</t>
        </is>
      </c>
      <c r="C35" s="4" t="inlineStr">
        <is>
          <t>MILESTONE</t>
        </is>
      </c>
      <c r="D35" s="4" t="inlineStr">
        <is>
          <t>2026-07-31</t>
        </is>
      </c>
      <c r="E35" s="4" t="inlineStr">
        <is>
          <t>2026-08-01</t>
        </is>
      </c>
      <c r="F35" s="35" t="n">
        <v>14</v>
      </c>
      <c r="G35" s="35" t="n">
        <v>22</v>
      </c>
      <c r="H35" s="35" t="n">
        <v>36</v>
      </c>
      <c r="I35" s="36" t="n">
        <v>23</v>
      </c>
      <c r="J35" s="4" t="inlineStr"/>
      <c r="K35" s="4" t="inlineStr">
        <is>
          <t>Not Started</t>
        </is>
      </c>
      <c r="L35" s="4" t="inlineStr"/>
      <c r="M35" s="34" t="inlineStr">
        <is>
          <t>T7-T9 are SCSS — explicit DROP CANDIDATES; cut these first if window is tight; ReAct scan works without SCSS</t>
        </is>
      </c>
    </row>
    <row r="36" ht="45" customHeight="1">
      <c r="A36" s="40" t="inlineStr">
        <is>
          <t>3.M4.T1</t>
        </is>
      </c>
      <c r="B36" s="23" t="inlineStr">
        <is>
          <t xml:space="preserve">    Surface prioritization ranking (CVE score x classifier uncertainty)</t>
        </is>
      </c>
      <c r="C36" s="22" t="inlineStr">
        <is>
          <t>TASK</t>
        </is>
      </c>
      <c r="D36" s="22" t="inlineStr"/>
      <c r="E36" s="22" t="inlineStr"/>
      <c r="F36" s="41" t="n"/>
      <c r="G36" s="41" t="n"/>
      <c r="H36" s="41" t="n"/>
      <c r="I36" s="42" t="n">
        <v>2.5</v>
      </c>
      <c r="J36" s="22" t="inlineStr"/>
      <c r="K36" s="10" t="inlineStr">
        <is>
          <t>Not Started</t>
        </is>
      </c>
      <c r="L36" s="22" t="inlineStr">
        <is>
          <t>Hoang</t>
        </is>
      </c>
      <c r="M36" s="23" t="inlineStr">
        <is>
          <t>Rank uncertain surfaces: (CVSS score from OSV x (1 - classifier confidence)); highest ranked consume token budget first</t>
        </is>
      </c>
    </row>
    <row r="37" ht="45" customHeight="1">
      <c r="A37" s="43" t="inlineStr">
        <is>
          <t>3.M4.T2</t>
        </is>
      </c>
      <c r="B37" s="20" t="inlineStr">
        <is>
          <t xml:space="preserve">    Hard per-scan token cap enforcement</t>
        </is>
      </c>
      <c r="C37" s="19" t="inlineStr">
        <is>
          <t>TASK</t>
        </is>
      </c>
      <c r="D37" s="19" t="inlineStr"/>
      <c r="E37" s="19" t="inlineStr"/>
      <c r="F37" s="44" t="n"/>
      <c r="G37" s="44" t="n"/>
      <c r="H37" s="44" t="n"/>
      <c r="I37" s="45" t="n">
        <v>2</v>
      </c>
      <c r="J37" s="19" t="inlineStr"/>
      <c r="K37" s="10" t="inlineStr">
        <is>
          <t>Not Started</t>
        </is>
      </c>
      <c r="L37" s="19" t="inlineStr">
        <is>
          <t>Hoang</t>
        </is>
      </c>
      <c r="M37" s="20" t="inlineStr">
        <is>
          <t>Configurable cap (default: 50K tokens per scan); token counter incremented on each LLM call; halt when cap reached</t>
        </is>
      </c>
    </row>
    <row r="38" ht="45" customHeight="1">
      <c r="A38" s="40" t="inlineStr">
        <is>
          <t>3.M4.T3</t>
        </is>
      </c>
      <c r="B38" s="23" t="inlineStr">
        <is>
          <t xml:space="preserve">    ReAct loop — Thought step</t>
        </is>
      </c>
      <c r="C38" s="22" t="inlineStr">
        <is>
          <t>TASK</t>
        </is>
      </c>
      <c r="D38" s="22" t="inlineStr"/>
      <c r="E38" s="22" t="inlineStr"/>
      <c r="F38" s="41" t="n"/>
      <c r="G38" s="41" t="n"/>
      <c r="H38" s="41" t="n"/>
      <c r="I38" s="42" t="n">
        <v>2.5</v>
      </c>
      <c r="J38" s="22" t="inlineStr"/>
      <c r="K38" s="10" t="inlineStr">
        <is>
          <t>Not Started</t>
        </is>
      </c>
      <c r="L38" s="22" t="inlineStr">
        <is>
          <t>Hoang</t>
        </is>
      </c>
      <c r="M38" s="23" t="inlineStr">
        <is>
          <t>LLM receives: semantic summary + vulnerability class schema; produces Thought: hypothesis + what additional context needed</t>
        </is>
      </c>
    </row>
    <row r="39" ht="45" customHeight="1">
      <c r="A39" s="43" t="inlineStr">
        <is>
          <t>3.M4.T4</t>
        </is>
      </c>
      <c r="B39" s="20" t="inlineStr">
        <is>
          <t xml:space="preserve">    ReAct loop — context-request step (call chain depth + CVE lookup)</t>
        </is>
      </c>
      <c r="C39" s="19" t="inlineStr">
        <is>
          <t>TASK</t>
        </is>
      </c>
      <c r="D39" s="19" t="inlineStr"/>
      <c r="E39" s="19" t="inlineStr"/>
      <c r="F39" s="44" t="n"/>
      <c r="G39" s="44" t="n"/>
      <c r="H39" s="44" t="n"/>
      <c r="I39" s="45" t="n">
        <v>3</v>
      </c>
      <c r="J39" s="19" t="inlineStr"/>
      <c r="K39" s="10" t="inlineStr">
        <is>
          <t>Not Started</t>
        </is>
      </c>
      <c r="L39" s="19" t="inlineStr">
        <is>
          <t>Hoang</t>
        </is>
      </c>
      <c r="M39" s="20" t="inlineStr">
        <is>
          <t>LLM can request: deeper call chain (up to depth 3), CVE DB lookup from OSV-Scanner, or prior inferences from SCSS</t>
        </is>
      </c>
    </row>
    <row r="40" ht="45" customHeight="1">
      <c r="A40" s="40" t="inlineStr">
        <is>
          <t>3.M4.T5</t>
        </is>
      </c>
      <c r="B40" s="23" t="inlineStr">
        <is>
          <t xml:space="preserve">    ReAct loop — Observation -&gt; verdict step</t>
        </is>
      </c>
      <c r="C40" s="22" t="inlineStr">
        <is>
          <t>TASK</t>
        </is>
      </c>
      <c r="D40" s="22" t="inlineStr"/>
      <c r="E40" s="22" t="inlineStr"/>
      <c r="F40" s="41" t="n"/>
      <c r="G40" s="41" t="n"/>
      <c r="H40" s="41" t="n"/>
      <c r="I40" s="42" t="n">
        <v>2.5</v>
      </c>
      <c r="J40" s="22" t="inlineStr"/>
      <c r="K40" s="10" t="inlineStr">
        <is>
          <t>Not Started</t>
        </is>
      </c>
      <c r="L40" s="22" t="inlineStr">
        <is>
          <t>Hoang</t>
        </is>
      </c>
      <c r="M40" s="23" t="inlineStr">
        <is>
          <t>Max 3 ReAct steps; final step produces verdict; XGrammar enforces JSON schema; write to Finding channel</t>
        </is>
      </c>
    </row>
    <row r="41" ht="45" customHeight="1">
      <c r="A41" s="43" t="inlineStr">
        <is>
          <t>3.M4.T6</t>
        </is>
      </c>
      <c r="B41" s="20" t="inlineStr">
        <is>
          <t xml:space="preserve">    XGrammar schema enforcement on ReAct output (extend Python worker)</t>
        </is>
      </c>
      <c r="C41" s="19" t="inlineStr">
        <is>
          <t>TASK</t>
        </is>
      </c>
      <c r="D41" s="19" t="inlineStr"/>
      <c r="E41" s="19" t="inlineStr"/>
      <c r="F41" s="44" t="n"/>
      <c r="G41" s="44" t="n"/>
      <c r="H41" s="44" t="n"/>
      <c r="I41" s="45" t="n">
        <v>2</v>
      </c>
      <c r="J41" s="19" t="inlineStr"/>
      <c r="K41" s="10" t="inlineStr">
        <is>
          <t>Not Started</t>
        </is>
      </c>
      <c r="L41" s="19" t="inlineStr">
        <is>
          <t>Hoang</t>
        </is>
      </c>
      <c r="M41" s="20" t="inlineStr">
        <is>
          <t>Add `llm_scan` type to Python worker dispatcher; XGrammar JSON schema for ReAct verdict</t>
        </is>
      </c>
    </row>
    <row r="42" ht="45" customHeight="1">
      <c r="A42" s="40" t="inlineStr">
        <is>
          <t>3.M4.T7</t>
        </is>
      </c>
      <c r="B42" s="23" t="inlineStr">
        <is>
          <t xml:space="preserve">    [SCSS DROP FIRST] Scan Security Context Store: in-memory key-value store per scan</t>
        </is>
      </c>
      <c r="C42" s="22" t="inlineStr">
        <is>
          <t>TASK</t>
        </is>
      </c>
      <c r="D42" s="22" t="inlineStr"/>
      <c r="E42" s="22" t="inlineStr"/>
      <c r="F42" s="41" t="n"/>
      <c r="G42" s="41" t="n"/>
      <c r="H42" s="41" t="n"/>
      <c r="I42" s="42" t="n">
        <v>3</v>
      </c>
      <c r="J42" s="22" t="inlineStr"/>
      <c r="K42" s="10" t="inlineStr">
        <is>
          <t>Not Started</t>
        </is>
      </c>
      <c r="L42" s="22" t="inlineStr">
        <is>
          <t>Hoang</t>
        </is>
      </c>
      <c r="M42" s="23" t="inlineStr">
        <is>
          <t>DROP if M3.4 starts late; per-scan map: {surfaceID -&gt; SecurityInference}; stores inferred data sources, sanitizer gaps</t>
        </is>
      </c>
    </row>
    <row r="43" ht="45" customHeight="1">
      <c r="A43" s="43" t="inlineStr">
        <is>
          <t>3.M4.T8</t>
        </is>
      </c>
      <c r="B43" s="20" t="inlineStr">
        <is>
          <t xml:space="preserve">    [SCSS DROP FIRST] SCSS read/write hooks on LLM calls</t>
        </is>
      </c>
      <c r="C43" s="19" t="inlineStr">
        <is>
          <t>TASK</t>
        </is>
      </c>
      <c r="D43" s="19" t="inlineStr"/>
      <c r="E43" s="19" t="inlineStr"/>
      <c r="F43" s="44" t="n"/>
      <c r="G43" s="44" t="n"/>
      <c r="H43" s="44" t="n"/>
      <c r="I43" s="45" t="n">
        <v>2</v>
      </c>
      <c r="J43" s="19" t="inlineStr"/>
      <c r="K43" s="10" t="inlineStr">
        <is>
          <t>Not Started</t>
        </is>
      </c>
      <c r="L43" s="19" t="inlineStr">
        <is>
          <t>Hoang</t>
        </is>
      </c>
      <c r="M43" s="20" t="inlineStr">
        <is>
          <t>DROP if M3.4 starts late; before ReAct Thought: inject prior inferences from SCSS; after verdict: write new inferences</t>
        </is>
      </c>
    </row>
    <row r="44" ht="45" customHeight="1">
      <c r="A44" s="40" t="inlineStr">
        <is>
          <t>3.M4.T9</t>
        </is>
      </c>
      <c r="B44" s="23" t="inlineStr">
        <is>
          <t xml:space="preserve">    [SCSS DROP FIRST] Cross-surface vulnerability detection test</t>
        </is>
      </c>
      <c r="C44" s="22" t="inlineStr">
        <is>
          <t>TASK</t>
        </is>
      </c>
      <c r="D44" s="22" t="inlineStr"/>
      <c r="E44" s="22" t="inlineStr"/>
      <c r="F44" s="41" t="n"/>
      <c r="G44" s="41" t="n"/>
      <c r="H44" s="41" t="n"/>
      <c r="I44" s="42" t="n">
        <v>3.5</v>
      </c>
      <c r="J44" s="22" t="inlineStr"/>
      <c r="K44" s="10" t="inlineStr">
        <is>
          <t>Not Started</t>
        </is>
      </c>
      <c r="L44" s="22" t="inlineStr">
        <is>
          <t>Hoang</t>
        </is>
      </c>
      <c r="M44" s="23" t="inlineStr">
        <is>
          <t>DROP if M3.4 starts late; test: vulnerability only detectable by combining inferences from two separate surfaces</t>
        </is>
      </c>
    </row>
    <row r="45" ht="5" customHeight="1"/>
    <row r="46" ht="40" customHeight="1">
      <c r="A46" s="46" t="inlineStr">
        <is>
          <t>3.BUF</t>
        </is>
      </c>
      <c r="B46" s="47" t="inlineStr">
        <is>
          <t>G3 Buffer</t>
        </is>
      </c>
      <c r="C46" s="46" t="inlineStr">
        <is>
          <t>BUFFER</t>
        </is>
      </c>
      <c r="D46" s="46" t="inlineStr">
        <is>
          <t>2026-07-21</t>
        </is>
      </c>
      <c r="E46" s="46" t="inlineStr">
        <is>
          <t>2026-08-01</t>
        </is>
      </c>
      <c r="F46" s="48" t="n"/>
      <c r="G46" s="48" t="n"/>
      <c r="H46" s="48" t="n"/>
      <c r="I46" s="49" t="n">
        <v>8</v>
      </c>
      <c r="J46" s="46" t="inlineStr"/>
      <c r="K46" s="46" t="inlineStr"/>
      <c r="L46" s="46" t="inlineStr"/>
      <c r="M46" s="47" t="inlineStr">
        <is>
          <t>Compressed 10% buffer (tight window); SCSS drop saves 8.5h — treat as de-facto buffer extension if M3.4 runs short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7" customWidth="1" min="11" max="11"/>
    <col width="10" customWidth="1" min="12" max="12"/>
    <col width="38" customWidth="1" min="13" max="13"/>
  </cols>
  <sheetData>
    <row r="1" ht="50" customHeight="1">
      <c r="A1" s="1" t="inlineStr">
        <is>
          <t>ZeroTrust.sh  ·  G4 — Integration, Report &amp; Demo</t>
        </is>
      </c>
    </row>
    <row r="2" ht="22" customHeight="1">
      <c r="A2" s="2" t="inlineStr">
        <is>
          <t>Intern: Ton Minh Hoang  ·  VNG ZingPlay Studio  ·  Goal: Dedup + SSVC scoring + HTML report + end-to-end demo  ·  Deadline: 2026-08-06</t>
        </is>
      </c>
    </row>
    <row r="3" ht="6" customHeight="1"/>
    <row r="4" ht="50" customHeight="1">
      <c r="A4" s="4" t="inlineStr">
        <is>
          <t>ID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Start Date</t>
        </is>
      </c>
      <c r="E4" s="4" t="inlineStr">
        <is>
          <t>End Date</t>
        </is>
      </c>
      <c r="F4" s="4" t="inlineStr">
        <is>
          <t>PERT O (h)</t>
        </is>
      </c>
      <c r="G4" s="4" t="inlineStr">
        <is>
          <t>PERT ML (h)</t>
        </is>
      </c>
      <c r="H4" s="4" t="inlineStr">
        <is>
          <t>PERT P (h)</t>
        </is>
      </c>
      <c r="I4" s="4" t="inlineStr">
        <is>
          <t>PERT E (h)</t>
        </is>
      </c>
      <c r="J4" s="4" t="inlineStr">
        <is>
          <t>Actual Hrs</t>
        </is>
      </c>
      <c r="K4" s="4" t="inlineStr">
        <is>
          <t>Status</t>
        </is>
      </c>
      <c r="L4" s="4" t="inlineStr">
        <is>
          <t>Owner</t>
        </is>
      </c>
      <c r="M4" s="4" t="inlineStr">
        <is>
          <t>Notes</t>
        </is>
      </c>
    </row>
    <row r="5" ht="40" customHeight="1">
      <c r="A5" s="4" t="inlineStr">
        <is>
          <t>4.M1</t>
        </is>
      </c>
      <c r="B5" s="34" t="inlineStr">
        <is>
          <t>Dedup + SSVC Confidence Scoring</t>
        </is>
      </c>
      <c r="C5" s="4" t="inlineStr">
        <is>
          <t>MILESTONE</t>
        </is>
      </c>
      <c r="D5" s="4" t="inlineStr">
        <is>
          <t>2026-08-01</t>
        </is>
      </c>
      <c r="E5" s="4" t="inlineStr">
        <is>
          <t>2026-08-03</t>
        </is>
      </c>
      <c r="F5" s="35" t="n">
        <v>6</v>
      </c>
      <c r="G5" s="35" t="n">
        <v>10</v>
      </c>
      <c r="H5" s="35" t="n">
        <v>16</v>
      </c>
      <c r="I5" s="36" t="n">
        <v>10.3</v>
      </c>
      <c r="J5" s="4" t="inlineStr"/>
      <c r="K5" s="4" t="inlineStr">
        <is>
          <t>Not Started</t>
        </is>
      </c>
      <c r="L5" s="4" t="inlineStr"/>
      <c r="M5" s="34" t="inlineStr">
        <is>
          <t>Skeleton should be pre-stubbed during G3 final week; merges Path A + Path B findings into unified 5-tier output</t>
        </is>
      </c>
    </row>
    <row r="6" ht="45" customHeight="1">
      <c r="A6" s="40" t="inlineStr">
        <is>
          <t>4.M1.T1</t>
        </is>
      </c>
      <c r="B6" s="23" t="inlineStr">
        <is>
          <t xml:space="preserve">    Dedup — AST edit distance comparison</t>
        </is>
      </c>
      <c r="C6" s="22" t="inlineStr">
        <is>
          <t>TASK</t>
        </is>
      </c>
      <c r="D6" s="22" t="inlineStr"/>
      <c r="E6" s="22" t="inlineStr"/>
      <c r="F6" s="41" t="n"/>
      <c r="G6" s="41" t="n"/>
      <c r="H6" s="41" t="n"/>
      <c r="I6" s="42" t="n">
        <v>2</v>
      </c>
      <c r="J6" s="22" t="inlineStr"/>
      <c r="K6" s="10" t="inlineStr">
        <is>
          <t>Not Started</t>
        </is>
      </c>
      <c r="L6" s="22" t="inlineStr">
        <is>
          <t>Hoang</t>
        </is>
      </c>
      <c r="M6" s="23" t="inlineStr">
        <is>
          <t>Compare evidence snippets from Path A and Path B; collapse duplicates above edit-distance threshold</t>
        </is>
      </c>
    </row>
    <row r="7" ht="45" customHeight="1">
      <c r="A7" s="43" t="inlineStr">
        <is>
          <t>4.M1.T2</t>
        </is>
      </c>
      <c r="B7" s="20" t="inlineStr">
        <is>
          <t xml:space="preserve">    Dedup — CWE pattern hash</t>
        </is>
      </c>
      <c r="C7" s="19" t="inlineStr">
        <is>
          <t>TASK</t>
        </is>
      </c>
      <c r="D7" s="19" t="inlineStr"/>
      <c r="E7" s="19" t="inlineStr"/>
      <c r="F7" s="44" t="n"/>
      <c r="G7" s="44" t="n"/>
      <c r="H7" s="44" t="n"/>
      <c r="I7" s="45" t="n">
        <v>1.5</v>
      </c>
      <c r="J7" s="19" t="inlineStr"/>
      <c r="K7" s="10" t="inlineStr">
        <is>
          <t>Not Started</t>
        </is>
      </c>
      <c r="L7" s="19" t="inlineStr">
        <is>
          <t>Hoang</t>
        </is>
      </c>
      <c r="M7" s="20" t="inlineStr">
        <is>
          <t>Hash: CWE ID + file path + line range; collapse findings with identical hash; fastest dedup pass, runs first</t>
        </is>
      </c>
    </row>
    <row r="8" ht="45" customHeight="1">
      <c r="A8" s="40" t="inlineStr">
        <is>
          <t>4.M1.T3</t>
        </is>
      </c>
      <c r="B8" s="23" t="inlineStr">
        <is>
          <t xml:space="preserve">    Dedup — LLM semantic similarity check (Python worker call)</t>
        </is>
      </c>
      <c r="C8" s="22" t="inlineStr">
        <is>
          <t>TASK</t>
        </is>
      </c>
      <c r="D8" s="22" t="inlineStr"/>
      <c r="E8" s="22" t="inlineStr"/>
      <c r="F8" s="41" t="n"/>
      <c r="G8" s="41" t="n"/>
      <c r="H8" s="41" t="n"/>
      <c r="I8" s="42" t="n">
        <v>2</v>
      </c>
      <c r="J8" s="22" t="inlineStr"/>
      <c r="K8" s="10" t="inlineStr">
        <is>
          <t>Not Started</t>
        </is>
      </c>
      <c r="L8" s="22" t="inlineStr">
        <is>
          <t>Hoang</t>
        </is>
      </c>
      <c r="M8" s="23" t="inlineStr">
        <is>
          <t>For findings not collapsed by T1/T2: embed + cosine similarity; collapse if similarity &gt; threshold</t>
        </is>
      </c>
    </row>
    <row r="9" ht="45" customHeight="1">
      <c r="A9" s="43" t="inlineStr">
        <is>
          <t>4.M1.T4</t>
        </is>
      </c>
      <c r="B9" s="20" t="inlineStr">
        <is>
          <t xml:space="preserve">    SSVC dimension mapping -&gt; 5-tier score assignment</t>
        </is>
      </c>
      <c r="C9" s="19" t="inlineStr">
        <is>
          <t>TASK</t>
        </is>
      </c>
      <c r="D9" s="19" t="inlineStr"/>
      <c r="E9" s="19" t="inlineStr"/>
      <c r="F9" s="44" t="n"/>
      <c r="G9" s="44" t="n"/>
      <c r="H9" s="44" t="n"/>
      <c r="I9" s="45" t="n">
        <v>2</v>
      </c>
      <c r="J9" s="19" t="inlineStr"/>
      <c r="K9" s="10" t="inlineStr">
        <is>
          <t>Not Started</t>
        </is>
      </c>
      <c r="L9" s="19" t="inlineStr">
        <is>
          <t>Hoang</t>
        </is>
      </c>
      <c r="M9" s="20" t="inlineStr">
        <is>
          <t>Dimensions: Exploitation (EPSS from OSV), Automatable (taint path), Technical Impact (sink type); map to BLOCK/HIGH/MEDIUM/LOW/SUPPRESSED</t>
        </is>
      </c>
    </row>
    <row r="10" ht="45" customHeight="1">
      <c r="A10" s="40" t="inlineStr">
        <is>
          <t>4.M1.T5</t>
        </is>
      </c>
      <c r="B10" s="23" t="inlineStr">
        <is>
          <t xml:space="preserve">    Cross-path confirmation boost (+15% for findings confirmed by both paths)</t>
        </is>
      </c>
      <c r="C10" s="22" t="inlineStr">
        <is>
          <t>TASK</t>
        </is>
      </c>
      <c r="D10" s="22" t="inlineStr"/>
      <c r="E10" s="22" t="inlineStr"/>
      <c r="F10" s="41" t="n"/>
      <c r="G10" s="41" t="n"/>
      <c r="H10" s="41" t="n"/>
      <c r="I10" s="42" t="n">
        <v>1</v>
      </c>
      <c r="J10" s="22" t="inlineStr"/>
      <c r="K10" s="10" t="inlineStr">
        <is>
          <t>Not Started</t>
        </is>
      </c>
      <c r="L10" s="22" t="inlineStr">
        <is>
          <t>Hoang</t>
        </is>
      </c>
      <c r="M10" s="23" t="inlineStr">
        <is>
          <t>If same finding appears in Path A and Path B output (after dedup): boost SSVC score by +15%</t>
        </is>
      </c>
    </row>
    <row r="11" ht="45" customHeight="1">
      <c r="A11" s="43" t="inlineStr">
        <is>
          <t>4.M1.T6</t>
        </is>
      </c>
      <c r="B11" s="20" t="inlineStr">
        <is>
          <t xml:space="preserve">    Suppression rules + dedup test suite</t>
        </is>
      </c>
      <c r="C11" s="19" t="inlineStr">
        <is>
          <t>TASK</t>
        </is>
      </c>
      <c r="D11" s="19" t="inlineStr"/>
      <c r="E11" s="19" t="inlineStr"/>
      <c r="F11" s="44" t="n"/>
      <c r="G11" s="44" t="n"/>
      <c r="H11" s="44" t="n"/>
      <c r="I11" s="45" t="n">
        <v>1.8</v>
      </c>
      <c r="J11" s="19" t="inlineStr"/>
      <c r="K11" s="10" t="inlineStr">
        <is>
          <t>Not Started</t>
        </is>
      </c>
      <c r="L11" s="19" t="inlineStr">
        <is>
          <t>Hoang</t>
        </is>
      </c>
      <c r="M11" s="20" t="inlineStr">
        <is>
          <t>Suppress: findings in test files (_test.go, test_*.py), framework-safe functions; test suite: 5+ dedup cases, 3+ suppression</t>
        </is>
      </c>
    </row>
    <row r="12" ht="5" customHeight="1"/>
    <row r="13" ht="40" customHeight="1">
      <c r="A13" s="4" t="inlineStr">
        <is>
          <t>4.M2</t>
        </is>
      </c>
      <c r="B13" s="34" t="inlineStr">
        <is>
          <t>HTML Report Generator + Patch Suggestions</t>
        </is>
      </c>
      <c r="C13" s="4" t="inlineStr">
        <is>
          <t>MILESTONE</t>
        </is>
      </c>
      <c r="D13" s="4" t="inlineStr">
        <is>
          <t>2026-08-03</t>
        </is>
      </c>
      <c r="E13" s="4" t="inlineStr">
        <is>
          <t>2026-08-04</t>
        </is>
      </c>
      <c r="F13" s="35" t="n">
        <v>6</v>
      </c>
      <c r="G13" s="35" t="n">
        <v>10</v>
      </c>
      <c r="H13" s="35" t="n">
        <v>16</v>
      </c>
      <c r="I13" s="36" t="n">
        <v>10.3</v>
      </c>
      <c r="J13" s="4" t="inlineStr"/>
      <c r="K13" s="4" t="inlineStr">
        <is>
          <t>Not Started</t>
        </is>
      </c>
      <c r="L13" s="4" t="inlineStr"/>
      <c r="M13" s="34" t="inlineStr">
        <is>
          <t>Go html/template + embed only — no Python dependency; output is a single portable .html file</t>
        </is>
      </c>
    </row>
    <row r="14" ht="45" customHeight="1">
      <c r="A14" s="40" t="inlineStr">
        <is>
          <t>4.M2.T1</t>
        </is>
      </c>
      <c r="B14" s="23" t="inlineStr">
        <is>
          <t xml:space="preserve">    Go html/template structure + embed setup</t>
        </is>
      </c>
      <c r="C14" s="22" t="inlineStr">
        <is>
          <t>TASK</t>
        </is>
      </c>
      <c r="D14" s="22" t="inlineStr"/>
      <c r="E14" s="22" t="inlineStr"/>
      <c r="F14" s="41" t="n"/>
      <c r="G14" s="41" t="n"/>
      <c r="H14" s="41" t="n"/>
      <c r="I14" s="42" t="n">
        <v>3</v>
      </c>
      <c r="J14" s="22" t="inlineStr"/>
      <c r="K14" s="10" t="inlineStr">
        <is>
          <t>Not Started</t>
        </is>
      </c>
      <c r="L14" s="22" t="inlineStr">
        <is>
          <t>Hoang</t>
        </is>
      </c>
      <c r="M14" s="23" t="inlineStr">
        <is>
          <t>//go:embed templates/*; base template with header, severity sections, finding cards; CSS inlined; no CDN dependencies</t>
        </is>
      </c>
    </row>
    <row r="15" ht="45" customHeight="1">
      <c r="A15" s="43" t="inlineStr">
        <is>
          <t>4.M2.T2</t>
        </is>
      </c>
      <c r="B15" s="20" t="inlineStr">
        <is>
          <t xml:space="preserve">    Finding list serialization to HTML (severity groups, collapsible evidence panels)</t>
        </is>
      </c>
      <c r="C15" s="19" t="inlineStr">
        <is>
          <t>TASK</t>
        </is>
      </c>
      <c r="D15" s="19" t="inlineStr"/>
      <c r="E15" s="19" t="inlineStr"/>
      <c r="F15" s="44" t="n"/>
      <c r="G15" s="44" t="n"/>
      <c r="H15" s="44" t="n"/>
      <c r="I15" s="45" t="n">
        <v>2</v>
      </c>
      <c r="J15" s="19" t="inlineStr"/>
      <c r="K15" s="10" t="inlineStr">
        <is>
          <t>Not Started</t>
        </is>
      </c>
      <c r="L15" s="19" t="inlineStr">
        <is>
          <t>Hoang</t>
        </is>
      </c>
      <c r="M15" s="20" t="inlineStr">
        <is>
          <t>Group findings by SSVC tier (BLOCK first); each finding card: file + line, CWE, rationale, evidence snippet, patch suggestion</t>
        </is>
      </c>
    </row>
    <row r="16" ht="45" customHeight="1">
      <c r="A16" s="40" t="inlineStr">
        <is>
          <t>4.M2.T3</t>
        </is>
      </c>
      <c r="B16" s="23" t="inlineStr">
        <is>
          <t xml:space="preserve">    Filter/sort controls (vanilla JS — no framework)</t>
        </is>
      </c>
      <c r="C16" s="22" t="inlineStr">
        <is>
          <t>TASK</t>
        </is>
      </c>
      <c r="D16" s="22" t="inlineStr"/>
      <c r="E16" s="22" t="inlineStr"/>
      <c r="F16" s="41" t="n"/>
      <c r="G16" s="41" t="n"/>
      <c r="H16" s="41" t="n"/>
      <c r="I16" s="42" t="n">
        <v>2.5</v>
      </c>
      <c r="J16" s="22" t="inlineStr"/>
      <c r="K16" s="10" t="inlineStr">
        <is>
          <t>Not Started</t>
        </is>
      </c>
      <c r="L16" s="22" t="inlineStr">
        <is>
          <t>Hoang</t>
        </is>
      </c>
      <c r="M16" s="23" t="inlineStr">
        <is>
          <t>Filter by: severity tier, CWE, file path; sort by: SSVC score, file name; ~50 lines of vanilla JS; self-contained</t>
        </is>
      </c>
    </row>
    <row r="17" ht="45" customHeight="1">
      <c r="A17" s="43" t="inlineStr">
        <is>
          <t>4.M2.T4</t>
        </is>
      </c>
      <c r="B17" s="20" t="inlineStr">
        <is>
          <t xml:space="preserve">    SSVC score visualization (severity tier badges + dimension breakdown)</t>
        </is>
      </c>
      <c r="C17" s="19" t="inlineStr">
        <is>
          <t>TASK</t>
        </is>
      </c>
      <c r="D17" s="19" t="inlineStr"/>
      <c r="E17" s="19" t="inlineStr"/>
      <c r="F17" s="44" t="n"/>
      <c r="G17" s="44" t="n"/>
      <c r="H17" s="44" t="n"/>
      <c r="I17" s="45" t="n">
        <v>1</v>
      </c>
      <c r="J17" s="19" t="inlineStr"/>
      <c r="K17" s="10" t="inlineStr">
        <is>
          <t>Not Started</t>
        </is>
      </c>
      <c r="L17" s="19" t="inlineStr">
        <is>
          <t>Hoang</t>
        </is>
      </c>
      <c r="M17" s="20" t="inlineStr">
        <is>
          <t>Colored badge per tier (BLOCK=red, HIGH=orange, MEDIUM=yellow, LOW=blue, SUPPRESSED=grey); tooltip shows SSVC dimensions</t>
        </is>
      </c>
    </row>
    <row r="18" ht="45" customHeight="1">
      <c r="A18" s="40" t="inlineStr">
        <is>
          <t>4.M2.T5</t>
        </is>
      </c>
      <c r="B18" s="23" t="inlineStr">
        <is>
          <t xml:space="preserve">    Patch suggestion prompt template + unified diff output (Python worker call)</t>
        </is>
      </c>
      <c r="C18" s="22" t="inlineStr">
        <is>
          <t>TASK</t>
        </is>
      </c>
      <c r="D18" s="22" t="inlineStr"/>
      <c r="E18" s="22" t="inlineStr"/>
      <c r="F18" s="41" t="n"/>
      <c r="G18" s="41" t="n"/>
      <c r="H18" s="41" t="n"/>
      <c r="I18" s="42" t="n">
        <v>1.8</v>
      </c>
      <c r="J18" s="22" t="inlineStr"/>
      <c r="K18" s="10" t="inlineStr">
        <is>
          <t>Not Started</t>
        </is>
      </c>
      <c r="L18" s="22" t="inlineStr">
        <is>
          <t>Hoang</t>
        </is>
      </c>
      <c r="M18" s="23" t="inlineStr">
        <is>
          <t>Zero-shot LLM call via `patch_suggest` type; prompt: finding rationale + code context; output: unified diff</t>
        </is>
      </c>
    </row>
    <row r="19" ht="5" customHeight="1"/>
    <row r="20" ht="40" customHeight="1">
      <c r="A20" s="4" t="inlineStr">
        <is>
          <t>4.M3</t>
        </is>
      </c>
      <c r="B20" s="34" t="inlineStr">
        <is>
          <t>End-to-End Demo Run + Hardening</t>
        </is>
      </c>
      <c r="C20" s="4" t="inlineStr">
        <is>
          <t>MILESTONE</t>
        </is>
      </c>
      <c r="D20" s="4" t="inlineStr">
        <is>
          <t>2026-08-04</t>
        </is>
      </c>
      <c r="E20" s="4" t="inlineStr">
        <is>
          <t>2026-08-06</t>
        </is>
      </c>
      <c r="F20" s="35" t="n">
        <v>6</v>
      </c>
      <c r="G20" s="35" t="n">
        <v>10</v>
      </c>
      <c r="H20" s="35" t="n">
        <v>16</v>
      </c>
      <c r="I20" s="36" t="n">
        <v>10.3</v>
      </c>
      <c r="J20" s="4" t="inlineStr"/>
      <c r="K20" s="4" t="inlineStr">
        <is>
          <t>Not Started</t>
        </is>
      </c>
      <c r="L20" s="4" t="inlineStr"/>
      <c r="M20" s="34" t="inlineStr">
        <is>
          <t>Final gate before demo; `zerotrust scan ./target` must work end-to-end; timing must be &lt; 10 min on test codebase</t>
        </is>
      </c>
    </row>
    <row r="21" ht="45" customHeight="1">
      <c r="A21" s="43" t="inlineStr">
        <is>
          <t>4.M3.T1</t>
        </is>
      </c>
      <c r="B21" s="20" t="inlineStr">
        <is>
          <t xml:space="preserve">    Source or build 2-3 realistic AI-generated vulnerable codebases</t>
        </is>
      </c>
      <c r="C21" s="19" t="inlineStr">
        <is>
          <t>TASK</t>
        </is>
      </c>
      <c r="D21" s="19" t="inlineStr"/>
      <c r="E21" s="19" t="inlineStr"/>
      <c r="F21" s="44" t="n"/>
      <c r="G21" s="44" t="n"/>
      <c r="H21" s="44" t="n"/>
      <c r="I21" s="45" t="n">
        <v>2.5</v>
      </c>
      <c r="J21" s="19" t="inlineStr"/>
      <c r="K21" s="10" t="inlineStr">
        <is>
          <t>Not Started</t>
        </is>
      </c>
      <c r="L21" s="19" t="inlineStr">
        <is>
          <t>Hoang</t>
        </is>
      </c>
      <c r="M21" s="20" t="inlineStr">
        <is>
          <t>Languages: Python (FastAPI/Flask), Go (net/http), Java (Spring Boot); use real AI-agent-generated code where possible</t>
        </is>
      </c>
    </row>
    <row r="22" ht="45" customHeight="1">
      <c r="A22" s="40" t="inlineStr">
        <is>
          <t>4.M3.T2</t>
        </is>
      </c>
      <c r="B22" s="23" t="inlineStr">
        <is>
          <t xml:space="preserve">    Full pipeline run on each target codebase</t>
        </is>
      </c>
      <c r="C22" s="22" t="inlineStr">
        <is>
          <t>TASK</t>
        </is>
      </c>
      <c r="D22" s="22" t="inlineStr"/>
      <c r="E22" s="22" t="inlineStr"/>
      <c r="F22" s="41" t="n"/>
      <c r="G22" s="41" t="n"/>
      <c r="H22" s="41" t="n"/>
      <c r="I22" s="42" t="n">
        <v>2</v>
      </c>
      <c r="J22" s="22" t="inlineStr"/>
      <c r="K22" s="10" t="inlineStr">
        <is>
          <t>Not Started</t>
        </is>
      </c>
      <c r="L22" s="22" t="inlineStr">
        <is>
          <t>Hoang</t>
        </is>
      </c>
      <c r="M22" s="23" t="inlineStr">
        <is>
          <t>Run `zerotrust scan ./target` end-to-end; verify: GGUF verified at startup, dirty files only re-scanned, HTML report generated</t>
        </is>
      </c>
    </row>
    <row r="23" ht="45" customHeight="1">
      <c r="A23" s="43" t="inlineStr">
        <is>
          <t>4.M3.T3</t>
        </is>
      </c>
      <c r="B23" s="20" t="inlineStr">
        <is>
          <t xml:space="preserve">    Integration break fixes</t>
        </is>
      </c>
      <c r="C23" s="19" t="inlineStr">
        <is>
          <t>TASK</t>
        </is>
      </c>
      <c r="D23" s="19" t="inlineStr"/>
      <c r="E23" s="19" t="inlineStr"/>
      <c r="F23" s="44" t="n"/>
      <c r="G23" s="44" t="n"/>
      <c r="H23" s="44" t="n"/>
      <c r="I23" s="45" t="n">
        <v>2</v>
      </c>
      <c r="J23" s="19" t="inlineStr"/>
      <c r="K23" s="10" t="inlineStr">
        <is>
          <t>Not Started</t>
        </is>
      </c>
      <c r="L23" s="19" t="inlineStr">
        <is>
          <t>Hoang</t>
        </is>
      </c>
      <c r="M23" s="20" t="inlineStr">
        <is>
          <t>Resolve any pipeline failures from T2; if a fix exceeds 2h, escalate as At Risk; do not introduce new features</t>
        </is>
      </c>
    </row>
    <row r="24" ht="45" customHeight="1">
      <c r="A24" s="40" t="inlineStr">
        <is>
          <t>4.M3.T4</t>
        </is>
      </c>
      <c r="B24" s="23" t="inlineStr">
        <is>
          <t xml:space="preserve">    Scan timing measurement (wall clock + per-component breakdown)</t>
        </is>
      </c>
      <c r="C24" s="22" t="inlineStr">
        <is>
          <t>TASK</t>
        </is>
      </c>
      <c r="D24" s="22" t="inlineStr"/>
      <c r="E24" s="22" t="inlineStr"/>
      <c r="F24" s="41" t="n"/>
      <c r="G24" s="41" t="n"/>
      <c r="H24" s="41" t="n"/>
      <c r="I24" s="42" t="n">
        <v>1</v>
      </c>
      <c r="J24" s="22" t="inlineStr"/>
      <c r="K24" s="10" t="inlineStr">
        <is>
          <t>Not Started</t>
        </is>
      </c>
      <c r="L24" s="22" t="inlineStr">
        <is>
          <t>Hoang</t>
        </is>
      </c>
      <c r="M24" s="23" t="inlineStr">
        <is>
          <t>Instrument: CPG build time, classifier gate time, LLM call time, total wall clock; target total &lt; 10 min</t>
        </is>
      </c>
    </row>
    <row r="25" ht="45" customHeight="1">
      <c r="A25" s="43" t="inlineStr">
        <is>
          <t>4.M3.T5</t>
        </is>
      </c>
      <c r="B25" s="20" t="inlineStr">
        <is>
          <t xml:space="preserve">    Demo script + rehearsal run</t>
        </is>
      </c>
      <c r="C25" s="19" t="inlineStr">
        <is>
          <t>TASK</t>
        </is>
      </c>
      <c r="D25" s="19" t="inlineStr"/>
      <c r="E25" s="19" t="inlineStr"/>
      <c r="F25" s="44" t="n"/>
      <c r="G25" s="44" t="n"/>
      <c r="H25" s="44" t="n"/>
      <c r="I25" s="45" t="n">
        <v>2.8</v>
      </c>
      <c r="J25" s="19" t="inlineStr"/>
      <c r="K25" s="10" t="inlineStr">
        <is>
          <t>Not Started</t>
        </is>
      </c>
      <c r="L25" s="19" t="inlineStr">
        <is>
          <t>Hoang</t>
        </is>
      </c>
      <c r="M25" s="20" t="inlineStr">
        <is>
          <t>Script covers: detection found, cost funnel % reached LLM, SSVC score explanation, patch diff, model integrity demo</t>
        </is>
      </c>
    </row>
    <row r="26" ht="5" customHeight="1"/>
    <row r="27" ht="40" customHeight="1">
      <c r="A27" s="50" t="inlineStr">
        <is>
          <t>4.M4</t>
        </is>
      </c>
      <c r="B27" s="51" t="inlineStr">
        <is>
          <t>PoE Layer — Red Team Agent + Docker Sandbox</t>
        </is>
      </c>
      <c r="C27" s="50" t="inlineStr">
        <is>
          <t>STRETCH</t>
        </is>
      </c>
      <c r="D27" s="50" t="inlineStr">
        <is>
          <t>2026-08-04</t>
        </is>
      </c>
      <c r="E27" s="50" t="inlineStr">
        <is>
          <t>2026-08-06</t>
        </is>
      </c>
      <c r="F27" s="52" t="n"/>
      <c r="G27" s="52" t="n"/>
      <c r="H27" s="52" t="n"/>
      <c r="I27" s="53" t="n">
        <v>15</v>
      </c>
      <c r="J27" s="50" t="inlineStr"/>
      <c r="K27" s="50" t="inlineStr">
        <is>
          <t>Not Started</t>
        </is>
      </c>
      <c r="L27" s="50" t="inlineStr"/>
      <c r="M27" s="51" t="inlineStr">
        <is>
          <t>STRETCH — CUT FIRST. Do not attempt if any G3 M3.4 task is incomplete on Aug 1. Parallel with M4.3 if attempted.</t>
        </is>
      </c>
    </row>
    <row r="28" ht="45" customHeight="1">
      <c r="A28" s="40" t="inlineStr">
        <is>
          <t>4.M4.T1</t>
        </is>
      </c>
      <c r="B28" s="23" t="inlineStr">
        <is>
          <t xml:space="preserve">    [STRETCH] LangGraph workflow setup (Recon -&gt; Exploit -&gt; Verify graph nodes)</t>
        </is>
      </c>
      <c r="C28" s="22" t="inlineStr">
        <is>
          <t>TASK</t>
        </is>
      </c>
      <c r="D28" s="22" t="inlineStr"/>
      <c r="E28" s="22" t="inlineStr"/>
      <c r="F28" s="41" t="n"/>
      <c r="G28" s="41" t="n"/>
      <c r="H28" s="41" t="n"/>
      <c r="I28" s="42" t="n">
        <v>4</v>
      </c>
      <c r="J28" s="22" t="inlineStr"/>
      <c r="K28" s="10" t="inlineStr">
        <is>
          <t>Not Started</t>
        </is>
      </c>
      <c r="L28" s="22" t="inlineStr">
        <is>
          <t>Hoang</t>
        </is>
      </c>
      <c r="M28" s="23" t="inlineStr">
        <is>
          <t>Python LangGraph v1.0; 3 nodes with typed state: Reconnaissance, Exploitation, Verification; state machine transitions</t>
        </is>
      </c>
    </row>
    <row r="29" ht="45" customHeight="1">
      <c r="A29" s="43" t="inlineStr">
        <is>
          <t>4.M4.T2</t>
        </is>
      </c>
      <c r="B29" s="20" t="inlineStr">
        <is>
          <t xml:space="preserve">    [STRETCH] Docker sandbox: container spec + seccomp profile (network isolation)</t>
        </is>
      </c>
      <c r="C29" s="19" t="inlineStr">
        <is>
          <t>TASK</t>
        </is>
      </c>
      <c r="D29" s="19" t="inlineStr"/>
      <c r="E29" s="19" t="inlineStr"/>
      <c r="F29" s="44" t="n"/>
      <c r="G29" s="44" t="n"/>
      <c r="H29" s="44" t="n"/>
      <c r="I29" s="45" t="n">
        <v>3.5</v>
      </c>
      <c r="J29" s="19" t="inlineStr"/>
      <c r="K29" s="10" t="inlineStr">
        <is>
          <t>Not Started</t>
        </is>
      </c>
      <c r="L29" s="19" t="inlineStr">
        <is>
          <t>Hoang</t>
        </is>
      </c>
      <c r="M29" s="20" t="inlineStr">
        <is>
          <t>Go Docker SDK; container: no network, no root, seccomp deny-list; volume mount: target codebase read-only</t>
        </is>
      </c>
    </row>
    <row r="30" ht="45" customHeight="1">
      <c r="A30" s="40" t="inlineStr">
        <is>
          <t>4.M4.T3</t>
        </is>
      </c>
      <c r="B30" s="23" t="inlineStr">
        <is>
          <t xml:space="preserve">    [STRETCH] Docker sandbox: attempt-trigger logic for BLOCK/HIGH findings</t>
        </is>
      </c>
      <c r="C30" s="22" t="inlineStr">
        <is>
          <t>TASK</t>
        </is>
      </c>
      <c r="D30" s="22" t="inlineStr"/>
      <c r="E30" s="22" t="inlineStr"/>
      <c r="F30" s="41" t="n"/>
      <c r="G30" s="41" t="n"/>
      <c r="H30" s="41" t="n"/>
      <c r="I30" s="42" t="n">
        <v>3.5</v>
      </c>
      <c r="J30" s="22" t="inlineStr"/>
      <c r="K30" s="10" t="inlineStr">
        <is>
          <t>Not Started</t>
        </is>
      </c>
      <c r="L30" s="22" t="inlineStr">
        <is>
          <t>Hoang</t>
        </is>
      </c>
      <c r="M30" s="23" t="inlineStr">
        <is>
          <t>LangGraph Exploitation node generates exploit code; passes to sandbox; captures execution result; timeout = 30s</t>
        </is>
      </c>
    </row>
    <row r="31" ht="45" customHeight="1">
      <c r="A31" s="43" t="inlineStr">
        <is>
          <t>4.M4.T4</t>
        </is>
      </c>
      <c r="B31" s="20" t="inlineStr">
        <is>
          <t xml:space="preserve">    [STRETCH] Two-layer PoE output (technical trace + executive summary)</t>
        </is>
      </c>
      <c r="C31" s="19" t="inlineStr">
        <is>
          <t>TASK</t>
        </is>
      </c>
      <c r="D31" s="19" t="inlineStr"/>
      <c r="E31" s="19" t="inlineStr"/>
      <c r="F31" s="44" t="n"/>
      <c r="G31" s="44" t="n"/>
      <c r="H31" s="44" t="n"/>
      <c r="I31" s="45" t="n">
        <v>2.5</v>
      </c>
      <c r="J31" s="19" t="inlineStr"/>
      <c r="K31" s="10" t="inlineStr">
        <is>
          <t>Not Started</t>
        </is>
      </c>
      <c r="L31" s="19" t="inlineStr">
        <is>
          <t>Hoang</t>
        </is>
      </c>
      <c r="M31" s="20" t="inlineStr">
        <is>
          <t>Technical trace: exploit code, execution log, sandbox exit code; executive summary: vulnerability name, business impact</t>
        </is>
      </c>
    </row>
    <row r="32" ht="45" customHeight="1">
      <c r="A32" s="40" t="inlineStr">
        <is>
          <t>4.M4.T5</t>
        </is>
      </c>
      <c r="B32" s="23" t="inlineStr">
        <is>
          <t xml:space="preserve">    [STRETCH] Static-evidence fallback when sandbox execution fails</t>
        </is>
      </c>
      <c r="C32" s="22" t="inlineStr">
        <is>
          <t>TASK</t>
        </is>
      </c>
      <c r="D32" s="22" t="inlineStr"/>
      <c r="E32" s="22" t="inlineStr"/>
      <c r="F32" s="41" t="n"/>
      <c r="G32" s="41" t="n"/>
      <c r="H32" s="41" t="n"/>
      <c r="I32" s="42" t="n">
        <v>1.5</v>
      </c>
      <c r="J32" s="22" t="inlineStr"/>
      <c r="K32" s="10" t="inlineStr">
        <is>
          <t>Not Started</t>
        </is>
      </c>
      <c r="L32" s="22" t="inlineStr">
        <is>
          <t>Hoang</t>
        </is>
      </c>
      <c r="M32" s="23" t="inlineStr">
        <is>
          <t>If sandbox exits non-zero or times out: emit 'Static evidence only — sandbox execution failed'; degrade gracefully</t>
        </is>
      </c>
    </row>
    <row r="33" ht="5" customHeight="1"/>
    <row r="34" ht="40" customHeight="1">
      <c r="A34" s="46" t="inlineStr">
        <is>
          <t>4.BUF</t>
        </is>
      </c>
      <c r="B34" s="47" t="inlineStr">
        <is>
          <t>G4 Buffer</t>
        </is>
      </c>
      <c r="C34" s="46" t="inlineStr">
        <is>
          <t>BUFFER</t>
        </is>
      </c>
      <c r="D34" s="46" t="inlineStr">
        <is>
          <t>2026-08-01</t>
        </is>
      </c>
      <c r="E34" s="46" t="inlineStr">
        <is>
          <t>2026-08-06</t>
        </is>
      </c>
      <c r="F34" s="48" t="n"/>
      <c r="G34" s="48" t="n"/>
      <c r="H34" s="48" t="n"/>
      <c r="I34" s="49" t="n">
        <v>3</v>
      </c>
      <c r="J34" s="46" t="inlineStr"/>
      <c r="K34" s="46" t="inlineStr"/>
      <c r="L34" s="46" t="inlineStr"/>
      <c r="M34" s="47" t="inlineStr">
        <is>
          <t>Tight 10% buffer; primary absorption: integration breaks in M4.3; if M4.4 not attempted, its 15h become additional buffer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7" customWidth="1" min="11" max="11"/>
    <col width="10" customWidth="1" min="12" max="12"/>
    <col width="38" customWidth="1" min="13" max="13"/>
  </cols>
  <sheetData>
    <row r="1" ht="50" customHeight="1">
      <c r="A1" s="1" t="inlineStr">
        <is>
          <t>ZeroTrust.sh  ·  Scientific Research &amp; Architecture Validation</t>
        </is>
      </c>
    </row>
    <row r="2" ht="22" customHeight="1">
      <c r="A2" s="2" t="inlineStr">
        <is>
          <t>Intern: Ton Minh Hoang  ·  VNG ZingPlay Studio  ·  Goal: Evidence-backed architecture validation  ·  Runs Jun 9 – Aug 1</t>
        </is>
      </c>
    </row>
    <row r="3" ht="6" customHeight="1"/>
    <row r="4" ht="50" customHeight="1">
      <c r="A4" s="4" t="inlineStr">
        <is>
          <t>ID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Start Date</t>
        </is>
      </c>
      <c r="E4" s="4" t="inlineStr">
        <is>
          <t>End Date</t>
        </is>
      </c>
      <c r="F4" s="4" t="inlineStr">
        <is>
          <t>PERT O (h)</t>
        </is>
      </c>
      <c r="G4" s="4" t="inlineStr">
        <is>
          <t>PERT ML (h)</t>
        </is>
      </c>
      <c r="H4" s="4" t="inlineStr">
        <is>
          <t>PERT P (h)</t>
        </is>
      </c>
      <c r="I4" s="4" t="inlineStr">
        <is>
          <t>PERT E (h)</t>
        </is>
      </c>
      <c r="J4" s="4" t="inlineStr">
        <is>
          <t>Actual Hrs</t>
        </is>
      </c>
      <c r="K4" s="4" t="inlineStr">
        <is>
          <t>Status</t>
        </is>
      </c>
      <c r="L4" s="4" t="inlineStr">
        <is>
          <t>Owner</t>
        </is>
      </c>
      <c r="M4" s="4" t="inlineStr">
        <is>
          <t>Notes</t>
        </is>
      </c>
    </row>
    <row r="5" ht="40" customHeight="1">
      <c r="A5" s="4" t="inlineStr">
        <is>
          <t>R.M1</t>
        </is>
      </c>
      <c r="B5" s="34" t="inlineStr">
        <is>
          <t>Literature Foundation</t>
        </is>
      </c>
      <c r="C5" s="4" t="inlineStr">
        <is>
          <t>MILESTONE</t>
        </is>
      </c>
      <c r="D5" s="4" t="inlineStr">
        <is>
          <t>2026-06-09</t>
        </is>
      </c>
      <c r="E5" s="4" t="inlineStr">
        <is>
          <t>2026-06-20</t>
        </is>
      </c>
      <c r="F5" s="35" t="n">
        <v>20</v>
      </c>
      <c r="G5" s="35" t="n">
        <v>41</v>
      </c>
      <c r="H5" s="35" t="n">
        <v>82</v>
      </c>
      <c r="I5" s="36" t="n">
        <v>44.33</v>
      </c>
      <c r="J5" s="4" t="inlineStr"/>
      <c r="K5" s="4" t="inlineStr">
        <is>
          <t>In Progress</t>
        </is>
      </c>
      <c r="L5" s="4" t="inlineStr"/>
      <c r="M5" s="34" t="inlineStr">
        <is>
          <t>Read and annotate all 40 catalogued papers across 7 areas. Build paper-to-architecture-component linkage map.</t>
        </is>
      </c>
    </row>
    <row r="6" ht="45" customHeight="1">
      <c r="A6" s="21" t="inlineStr">
        <is>
          <t>R.M1.T1</t>
        </is>
      </c>
      <c r="B6" s="37" t="inlineStr">
        <is>
          <t xml:space="preserve">    Read and annotate Area 1 (Deep Learning &amp; ML for Vulnerability Detection, ~4 papers) and Area 2 (GNN for Vulnerability Detection, ~6 papers)</t>
        </is>
      </c>
      <c r="C6" s="11" t="inlineStr">
        <is>
          <t>TASK</t>
        </is>
      </c>
      <c r="D6" s="11" t="inlineStr"/>
      <c r="E6" s="11" t="inlineStr"/>
      <c r="F6" s="38" t="n"/>
      <c r="G6" s="38" t="n"/>
      <c r="H6" s="38" t="n"/>
      <c r="I6" s="39" t="n">
        <v>8.67</v>
      </c>
      <c r="J6" s="11" t="inlineStr"/>
      <c r="K6" s="21" t="inlineStr">
        <is>
          <t>In Progress</t>
        </is>
      </c>
      <c r="L6" s="11" t="inlineStr">
        <is>
          <t>Hoang</t>
        </is>
      </c>
      <c r="M6" s="37" t="inlineStr"/>
    </row>
    <row r="7" ht="45" customHeight="1">
      <c r="A7" s="43" t="inlineStr">
        <is>
          <t>R.M1.T2</t>
        </is>
      </c>
      <c r="B7" s="20" t="inlineStr">
        <is>
          <t xml:space="preserve">    Read and annotate Area 3 (LLM for Code Security Analysis, ~6 papers)</t>
        </is>
      </c>
      <c r="C7" s="19" t="inlineStr">
        <is>
          <t>TASK</t>
        </is>
      </c>
      <c r="D7" s="19" t="inlineStr"/>
      <c r="E7" s="19" t="inlineStr"/>
      <c r="F7" s="44" t="n"/>
      <c r="G7" s="44" t="n"/>
      <c r="H7" s="44" t="n"/>
      <c r="I7" s="45" t="n">
        <v>12.67</v>
      </c>
      <c r="J7" s="19" t="inlineStr"/>
      <c r="K7" s="10" t="inlineStr">
        <is>
          <t>Not Started</t>
        </is>
      </c>
      <c r="L7" s="19" t="inlineStr">
        <is>
          <t>Hoang</t>
        </is>
      </c>
      <c r="M7" s="20" t="inlineStr"/>
    </row>
    <row r="8" ht="45" customHeight="1">
      <c r="A8" s="40" t="inlineStr">
        <is>
          <t>R.M1.T3</t>
        </is>
      </c>
      <c r="B8" s="23" t="inlineStr">
        <is>
          <t xml:space="preserve">    Read and annotate Area 4 (Hybrid Static Analysis + LLM, ~5 papers) and Area 5 (AI-Generated Code Security &amp; Prompt Injection, ~5 papers)</t>
        </is>
      </c>
      <c r="C8" s="22" t="inlineStr">
        <is>
          <t>TASK</t>
        </is>
      </c>
      <c r="D8" s="22" t="inlineStr"/>
      <c r="E8" s="22" t="inlineStr"/>
      <c r="F8" s="41" t="n"/>
      <c r="G8" s="41" t="n"/>
      <c r="H8" s="41" t="n"/>
      <c r="I8" s="42" t="n">
        <v>10.83</v>
      </c>
      <c r="J8" s="22" t="inlineStr"/>
      <c r="K8" s="10" t="inlineStr">
        <is>
          <t>Not Started</t>
        </is>
      </c>
      <c r="L8" s="22" t="inlineStr">
        <is>
          <t>Hoang</t>
        </is>
      </c>
      <c r="M8" s="23" t="inlineStr"/>
    </row>
    <row r="9" ht="45" customHeight="1">
      <c r="A9" s="43" t="inlineStr">
        <is>
          <t>R.M1.T4</t>
        </is>
      </c>
      <c r="B9" s="20" t="inlineStr">
        <is>
          <t xml:space="preserve">    Read and annotate Area 6 (Token Cost Optimization, ~4 papers) and Area 7 (Call Graph, Taint Analysis &amp; Code Representations, ~10 papers)</t>
        </is>
      </c>
      <c r="C9" s="19" t="inlineStr">
        <is>
          <t>TASK</t>
        </is>
      </c>
      <c r="D9" s="19" t="inlineStr"/>
      <c r="E9" s="19" t="inlineStr"/>
      <c r="F9" s="44" t="n"/>
      <c r="G9" s="44" t="n"/>
      <c r="H9" s="44" t="n"/>
      <c r="I9" s="45" t="n">
        <v>9</v>
      </c>
      <c r="J9" s="19" t="inlineStr"/>
      <c r="K9" s="10" t="inlineStr">
        <is>
          <t>Not Started</t>
        </is>
      </c>
      <c r="L9" s="19" t="inlineStr">
        <is>
          <t>Hoang</t>
        </is>
      </c>
      <c r="M9" s="20" t="inlineStr"/>
    </row>
    <row r="10" ht="45" customHeight="1">
      <c r="A10" s="40" t="inlineStr">
        <is>
          <t>R.M1.T5</t>
        </is>
      </c>
      <c r="B10" s="23" t="inlineStr">
        <is>
          <t xml:space="preserve">    Build paper-to-architecture-component linkage map: assign each of the 40 papers to &gt;= 1 ZeroTrust.sh component as primary evidence</t>
        </is>
      </c>
      <c r="C10" s="22" t="inlineStr">
        <is>
          <t>TASK</t>
        </is>
      </c>
      <c r="D10" s="22" t="inlineStr"/>
      <c r="E10" s="22" t="inlineStr"/>
      <c r="F10" s="41" t="n"/>
      <c r="G10" s="41" t="n"/>
      <c r="H10" s="41" t="n"/>
      <c r="I10" s="42" t="n">
        <v>3.17</v>
      </c>
      <c r="J10" s="22" t="inlineStr"/>
      <c r="K10" s="10" t="inlineStr">
        <is>
          <t>Not Started</t>
        </is>
      </c>
      <c r="L10" s="22" t="inlineStr">
        <is>
          <t>Hoang</t>
        </is>
      </c>
      <c r="M10" s="23" t="inlineStr"/>
    </row>
    <row r="11" ht="5" customHeight="1"/>
    <row r="12" ht="40" customHeight="1">
      <c r="A12" s="4" t="inlineStr">
        <is>
          <t>R.M2</t>
        </is>
      </c>
      <c r="B12" s="34" t="inlineStr">
        <is>
          <t>Architecture Validation Matrix</t>
        </is>
      </c>
      <c r="C12" s="4" t="inlineStr">
        <is>
          <t>MILESTONE</t>
        </is>
      </c>
      <c r="D12" s="4" t="inlineStr">
        <is>
          <t>2026-06-16</t>
        </is>
      </c>
      <c r="E12" s="4" t="inlineStr">
        <is>
          <t>2026-06-27</t>
        </is>
      </c>
      <c r="F12" s="35" t="n">
        <v>4</v>
      </c>
      <c r="G12" s="35" t="n">
        <v>8.5</v>
      </c>
      <c r="H12" s="35" t="n">
        <v>21</v>
      </c>
      <c r="I12" s="36" t="n">
        <v>9.83</v>
      </c>
      <c r="J12" s="4" t="inlineStr"/>
      <c r="K12" s="4" t="inlineStr">
        <is>
          <t>Not Started</t>
        </is>
      </c>
      <c r="L12" s="4" t="inlineStr"/>
      <c r="M12" s="34" t="inlineStr">
        <is>
          <t>Map every architecture component to &gt;= 1 supporting paper. Flag components with no academic backing as validation gaps.</t>
        </is>
      </c>
    </row>
    <row r="13" ht="45" customHeight="1">
      <c r="A13" s="43" t="inlineStr">
        <is>
          <t>R.M2.T1</t>
        </is>
      </c>
      <c r="B13" s="20" t="inlineStr">
        <is>
          <t xml:space="preserve">    Map Differential Indexer and all Path A sub-components to &gt;= 1 supporting paper each</t>
        </is>
      </c>
      <c r="C13" s="19" t="inlineStr">
        <is>
          <t>TASK</t>
        </is>
      </c>
      <c r="D13" s="19" t="inlineStr"/>
      <c r="E13" s="19" t="inlineStr"/>
      <c r="F13" s="44" t="n"/>
      <c r="G13" s="44" t="n"/>
      <c r="H13" s="44" t="n"/>
      <c r="I13" s="45" t="n">
        <v>2.33</v>
      </c>
      <c r="J13" s="19" t="inlineStr"/>
      <c r="K13" s="10" t="inlineStr">
        <is>
          <t>Not Started</t>
        </is>
      </c>
      <c r="L13" s="19" t="inlineStr">
        <is>
          <t>Hoang</t>
        </is>
      </c>
      <c r="M13" s="20" t="inlineStr"/>
    </row>
    <row r="14" ht="45" customHeight="1">
      <c r="A14" s="40" t="inlineStr">
        <is>
          <t>R.M2.T2</t>
        </is>
      </c>
      <c r="B14" s="23" t="inlineStr">
        <is>
          <t xml:space="preserve">    Map Path B three-tier cost funnel to supporting papers with specific claimed performance figures recorded</t>
        </is>
      </c>
      <c r="C14" s="22" t="inlineStr">
        <is>
          <t>TASK</t>
        </is>
      </c>
      <c r="D14" s="22" t="inlineStr"/>
      <c r="E14" s="22" t="inlineStr"/>
      <c r="F14" s="41" t="n"/>
      <c r="G14" s="41" t="n"/>
      <c r="H14" s="41" t="n"/>
      <c r="I14" s="42" t="n">
        <v>2.33</v>
      </c>
      <c r="J14" s="22" t="inlineStr"/>
      <c r="K14" s="10" t="inlineStr">
        <is>
          <t>Not Started</t>
        </is>
      </c>
      <c r="L14" s="22" t="inlineStr">
        <is>
          <t>Hoang</t>
        </is>
      </c>
      <c r="M14" s="23" t="inlineStr"/>
    </row>
    <row r="15" ht="45" customHeight="1">
      <c r="A15" s="43" t="inlineStr">
        <is>
          <t>R.M2.T3</t>
        </is>
      </c>
      <c r="B15" s="20" t="inlineStr">
        <is>
          <t xml:space="preserve">    Map Dedup layer and 5-tier Confidence Scoring to supporting papers</t>
        </is>
      </c>
      <c r="C15" s="19" t="inlineStr">
        <is>
          <t>TASK</t>
        </is>
      </c>
      <c r="D15" s="19" t="inlineStr"/>
      <c r="E15" s="19" t="inlineStr"/>
      <c r="F15" s="44" t="n"/>
      <c r="G15" s="44" t="n"/>
      <c r="H15" s="44" t="n"/>
      <c r="I15" s="45" t="n">
        <v>1.25</v>
      </c>
      <c r="J15" s="19" t="inlineStr"/>
      <c r="K15" s="10" t="inlineStr">
        <is>
          <t>Not Started</t>
        </is>
      </c>
      <c r="L15" s="19" t="inlineStr">
        <is>
          <t>Hoang</t>
        </is>
      </c>
      <c r="M15" s="20" t="inlineStr"/>
    </row>
    <row r="16" ht="45" customHeight="1">
      <c r="A16" s="40" t="inlineStr">
        <is>
          <t>R.M2.T4</t>
        </is>
      </c>
      <c r="B16" s="23" t="inlineStr">
        <is>
          <t xml:space="preserve">    Map Proof-of-Exploit Layer to supporting papers on automated vulnerability verification</t>
        </is>
      </c>
      <c r="C16" s="22" t="inlineStr">
        <is>
          <t>TASK</t>
        </is>
      </c>
      <c r="D16" s="22" t="inlineStr"/>
      <c r="E16" s="22" t="inlineStr"/>
      <c r="F16" s="41" t="n"/>
      <c r="G16" s="41" t="n"/>
      <c r="H16" s="41" t="n"/>
      <c r="I16" s="42" t="n">
        <v>1.75</v>
      </c>
      <c r="J16" s="22" t="inlineStr"/>
      <c r="K16" s="10" t="inlineStr">
        <is>
          <t>Not Started</t>
        </is>
      </c>
      <c r="L16" s="22" t="inlineStr">
        <is>
          <t>Hoang</t>
        </is>
      </c>
      <c r="M16" s="23" t="inlineStr"/>
    </row>
    <row r="17" ht="45" customHeight="1">
      <c r="A17" s="43" t="inlineStr">
        <is>
          <t>R.M2.T5</t>
        </is>
      </c>
      <c r="B17" s="20" t="inlineStr">
        <is>
          <t xml:space="preserve">    Identify every architecture component with zero academic backing and document each as an open validation gap</t>
        </is>
      </c>
      <c r="C17" s="19" t="inlineStr">
        <is>
          <t>TASK</t>
        </is>
      </c>
      <c r="D17" s="19" t="inlineStr"/>
      <c r="E17" s="19" t="inlineStr"/>
      <c r="F17" s="44" t="n"/>
      <c r="G17" s="44" t="n"/>
      <c r="H17" s="44" t="n"/>
      <c r="I17" s="45" t="n">
        <v>2.17</v>
      </c>
      <c r="J17" s="19" t="inlineStr"/>
      <c r="K17" s="10" t="inlineStr">
        <is>
          <t>Not Started</t>
        </is>
      </c>
      <c r="L17" s="19" t="inlineStr">
        <is>
          <t>Hoang</t>
        </is>
      </c>
      <c r="M17" s="20" t="inlineStr"/>
    </row>
    <row r="18" ht="5" customHeight="1"/>
    <row r="19" ht="40" customHeight="1">
      <c r="A19" s="4" t="inlineStr">
        <is>
          <t>R.M3</t>
        </is>
      </c>
      <c r="B19" s="34" t="inlineStr">
        <is>
          <t>Benchmark &amp; Performance Claims Verification</t>
        </is>
      </c>
      <c r="C19" s="4" t="inlineStr">
        <is>
          <t>MILESTONE</t>
        </is>
      </c>
      <c r="D19" s="4" t="inlineStr">
        <is>
          <t>2026-06-23</t>
        </is>
      </c>
      <c r="E19" s="4" t="inlineStr">
        <is>
          <t>2026-07-04</t>
        </is>
      </c>
      <c r="F19" s="35" t="n">
        <v>3</v>
      </c>
      <c r="G19" s="35" t="n">
        <v>6.5</v>
      </c>
      <c r="H19" s="35" t="n">
        <v>18</v>
      </c>
      <c r="I19" s="36" t="n">
        <v>7.83</v>
      </c>
      <c r="J19" s="4" t="inlineStr"/>
      <c r="K19" s="4" t="inlineStr">
        <is>
          <t>Not Started</t>
        </is>
      </c>
      <c r="L19" s="4" t="inlineStr"/>
      <c r="M19" s="34" t="inlineStr">
        <is>
          <t>Verify every quantitative claim in the architecture docs against its source paper.</t>
        </is>
      </c>
    </row>
    <row r="20" ht="45" customHeight="1">
      <c r="A20" s="40" t="inlineStr">
        <is>
          <t>R.M3.T1</t>
        </is>
      </c>
      <c r="B20" s="23" t="inlineStr">
        <is>
          <t xml:space="preserve">    Verify UniXcoder-Base-Nine F1=94.73% on BigVul: locate original paper, confirm exact evaluation setup</t>
        </is>
      </c>
      <c r="C20" s="22" t="inlineStr">
        <is>
          <t>TASK</t>
        </is>
      </c>
      <c r="D20" s="22" t="inlineStr"/>
      <c r="E20" s="22" t="inlineStr"/>
      <c r="F20" s="41" t="n"/>
      <c r="G20" s="41" t="n"/>
      <c r="H20" s="41" t="n"/>
      <c r="I20" s="42" t="n">
        <v>1.25</v>
      </c>
      <c r="J20" s="22" t="inlineStr"/>
      <c r="K20" s="10" t="inlineStr">
        <is>
          <t>Not Started</t>
        </is>
      </c>
      <c r="L20" s="22" t="inlineStr">
        <is>
          <t>Hoang</t>
        </is>
      </c>
      <c r="M20" s="23" t="inlineStr"/>
    </row>
    <row r="21" ht="45" customHeight="1">
      <c r="A21" s="43" t="inlineStr">
        <is>
          <t>R.M3.T2</t>
        </is>
      </c>
      <c r="B21" s="20" t="inlineStr">
        <is>
          <t xml:space="preserve">    Verify 88-93% false positive reduction claim for the LLM Verifier</t>
        </is>
      </c>
      <c r="C21" s="19" t="inlineStr">
        <is>
          <t>TASK</t>
        </is>
      </c>
      <c r="D21" s="19" t="inlineStr"/>
      <c r="E21" s="19" t="inlineStr"/>
      <c r="F21" s="44" t="n"/>
      <c r="G21" s="44" t="n"/>
      <c r="H21" s="44" t="n"/>
      <c r="I21" s="45" t="n">
        <v>1.75</v>
      </c>
      <c r="J21" s="19" t="inlineStr"/>
      <c r="K21" s="10" t="inlineStr">
        <is>
          <t>Not Started</t>
        </is>
      </c>
      <c r="L21" s="19" t="inlineStr">
        <is>
          <t>Hoang</t>
        </is>
      </c>
      <c r="M21" s="20" t="inlineStr"/>
    </row>
    <row r="22" ht="45" customHeight="1">
      <c r="A22" s="40" t="inlineStr">
        <is>
          <t>R.M3.T3</t>
        </is>
      </c>
      <c r="B22" s="23" t="inlineStr">
        <is>
          <t xml:space="preserve">    Verify ~80-95% cost reduction claim for the Differential Indexer</t>
        </is>
      </c>
      <c r="C22" s="22" t="inlineStr">
        <is>
          <t>TASK</t>
        </is>
      </c>
      <c r="D22" s="22" t="inlineStr"/>
      <c r="E22" s="22" t="inlineStr"/>
      <c r="F22" s="41" t="n"/>
      <c r="G22" s="41" t="n"/>
      <c r="H22" s="41" t="n"/>
      <c r="I22" s="42" t="n">
        <v>1.25</v>
      </c>
      <c r="J22" s="22" t="inlineStr"/>
      <c r="K22" s="10" t="inlineStr">
        <is>
          <t>Not Started</t>
        </is>
      </c>
      <c r="L22" s="22" t="inlineStr">
        <is>
          <t>Hoang</t>
        </is>
      </c>
      <c r="M22" s="23" t="inlineStr"/>
    </row>
    <row r="23" ht="45" customHeight="1">
      <c r="A23" s="43" t="inlineStr">
        <is>
          <t>R.M3.T4</t>
        </is>
      </c>
      <c r="B23" s="20" t="inlineStr">
        <is>
          <t xml:space="preserve">    Verify ~15-25% LLM escalation rate and ~95% file elimination rate</t>
        </is>
      </c>
      <c r="C23" s="19" t="inlineStr">
        <is>
          <t>TASK</t>
        </is>
      </c>
      <c r="D23" s="19" t="inlineStr"/>
      <c r="E23" s="19" t="inlineStr"/>
      <c r="F23" s="44" t="n"/>
      <c r="G23" s="44" t="n"/>
      <c r="H23" s="44" t="n"/>
      <c r="I23" s="45" t="n">
        <v>1.25</v>
      </c>
      <c r="J23" s="19" t="inlineStr"/>
      <c r="K23" s="10" t="inlineStr">
        <is>
          <t>Not Started</t>
        </is>
      </c>
      <c r="L23" s="19" t="inlineStr">
        <is>
          <t>Hoang</t>
        </is>
      </c>
      <c r="M23" s="20" t="inlineStr"/>
    </row>
    <row r="24" ht="45" customHeight="1">
      <c r="A24" s="40" t="inlineStr">
        <is>
          <t>R.M3.T5</t>
        </is>
      </c>
      <c r="B24" s="23" t="inlineStr">
        <is>
          <t xml:space="preserve">    Compile benchmarks reference table: claim text, source, confidence level, follow-up action</t>
        </is>
      </c>
      <c r="C24" s="22" t="inlineStr">
        <is>
          <t>TASK</t>
        </is>
      </c>
      <c r="D24" s="22" t="inlineStr"/>
      <c r="E24" s="22" t="inlineStr"/>
      <c r="F24" s="41" t="n"/>
      <c r="G24" s="41" t="n"/>
      <c r="H24" s="41" t="n"/>
      <c r="I24" s="42" t="n">
        <v>2.33</v>
      </c>
      <c r="J24" s="22" t="inlineStr"/>
      <c r="K24" s="10" t="inlineStr">
        <is>
          <t>Not Started</t>
        </is>
      </c>
      <c r="L24" s="22" t="inlineStr">
        <is>
          <t>Hoang</t>
        </is>
      </c>
      <c r="M24" s="23" t="inlineStr"/>
    </row>
    <row r="25" ht="5" customHeight="1"/>
    <row r="26" ht="40" customHeight="1">
      <c r="A26" s="4" t="inlineStr">
        <is>
          <t>R.M4</t>
        </is>
      </c>
      <c r="B26" s="34" t="inlineStr">
        <is>
          <t>Competitive Landscape Research</t>
        </is>
      </c>
      <c r="C26" s="4" t="inlineStr">
        <is>
          <t>MILESTONE</t>
        </is>
      </c>
      <c r="D26" s="4" t="inlineStr">
        <is>
          <t>2026-06-30</t>
        </is>
      </c>
      <c r="E26" s="4" t="inlineStr">
        <is>
          <t>2026-07-11</t>
        </is>
      </c>
      <c r="F26" s="35" t="n">
        <v>6</v>
      </c>
      <c r="G26" s="35" t="n">
        <v>12</v>
      </c>
      <c r="H26" s="35" t="n">
        <v>26</v>
      </c>
      <c r="I26" s="36" t="n">
        <v>13.33</v>
      </c>
      <c r="J26" s="4" t="inlineStr"/>
      <c r="K26" s="4" t="inlineStr">
        <is>
          <t>Not Started</t>
        </is>
      </c>
      <c r="L26" s="4" t="inlineStr"/>
      <c r="M26" s="34" t="inlineStr">
        <is>
          <t>Research Semgrep, Snyk Code, and CodeRabbit structural gaps vs ZeroTrust.sh. Compile differentiation evidence table.</t>
        </is>
      </c>
    </row>
    <row r="27" ht="45" customHeight="1">
      <c r="A27" s="43" t="inlineStr">
        <is>
          <t>R.M4.T1</t>
        </is>
      </c>
      <c r="B27" s="20" t="inlineStr">
        <is>
          <t xml:space="preserve">    Research publicly available accuracy and precision data for Semgrep OSS and Semgrep Pro</t>
        </is>
      </c>
      <c r="C27" s="19" t="inlineStr">
        <is>
          <t>TASK</t>
        </is>
      </c>
      <c r="D27" s="19" t="inlineStr"/>
      <c r="E27" s="19" t="inlineStr"/>
      <c r="F27" s="44" t="n"/>
      <c r="G27" s="44" t="n"/>
      <c r="H27" s="44" t="n"/>
      <c r="I27" s="45" t="n">
        <v>2.33</v>
      </c>
      <c r="J27" s="19" t="inlineStr"/>
      <c r="K27" s="10" t="inlineStr">
        <is>
          <t>Not Started</t>
        </is>
      </c>
      <c r="L27" s="19" t="inlineStr">
        <is>
          <t>Hoang</t>
        </is>
      </c>
      <c r="M27" s="20" t="inlineStr"/>
    </row>
    <row r="28" ht="45" customHeight="1">
      <c r="A28" s="40" t="inlineStr">
        <is>
          <t>R.M4.T2</t>
        </is>
      </c>
      <c r="B28" s="23" t="inlineStr">
        <is>
          <t xml:space="preserve">    Research Snyk Code architecture with focus on cloud dependency and source-code-upload requirements</t>
        </is>
      </c>
      <c r="C28" s="22" t="inlineStr">
        <is>
          <t>TASK</t>
        </is>
      </c>
      <c r="D28" s="22" t="inlineStr"/>
      <c r="E28" s="22" t="inlineStr"/>
      <c r="F28" s="41" t="n"/>
      <c r="G28" s="41" t="n"/>
      <c r="H28" s="41" t="n"/>
      <c r="I28" s="42" t="n">
        <v>2.17</v>
      </c>
      <c r="J28" s="22" t="inlineStr"/>
      <c r="K28" s="10" t="inlineStr">
        <is>
          <t>Not Started</t>
        </is>
      </c>
      <c r="L28" s="22" t="inlineStr">
        <is>
          <t>Hoang</t>
        </is>
      </c>
      <c r="M28" s="23" t="inlineStr"/>
    </row>
    <row r="29" ht="45" customHeight="1">
      <c r="A29" s="43" t="inlineStr">
        <is>
          <t>R.M4.T3</t>
        </is>
      </c>
      <c r="B29" s="20" t="inlineStr">
        <is>
          <t xml:space="preserve">    Research CodeRabbit's PR-gated workflow architecture: document what it structurally cannot do</t>
        </is>
      </c>
      <c r="C29" s="19" t="inlineStr">
        <is>
          <t>TASK</t>
        </is>
      </c>
      <c r="D29" s="19" t="inlineStr"/>
      <c r="E29" s="19" t="inlineStr"/>
      <c r="F29" s="44" t="n"/>
      <c r="G29" s="44" t="n"/>
      <c r="H29" s="44" t="n"/>
      <c r="I29" s="45" t="n">
        <v>2.17</v>
      </c>
      <c r="J29" s="19" t="inlineStr"/>
      <c r="K29" s="10" t="inlineStr">
        <is>
          <t>Not Started</t>
        </is>
      </c>
      <c r="L29" s="19" t="inlineStr">
        <is>
          <t>Hoang</t>
        </is>
      </c>
      <c r="M29" s="20" t="inlineStr"/>
    </row>
    <row r="30" ht="45" customHeight="1">
      <c r="A30" s="40" t="inlineStr">
        <is>
          <t>R.M4.T4</t>
        </is>
      </c>
      <c r="B30" s="23" t="inlineStr">
        <is>
          <t xml:space="preserve">    Search academic databases for evidence that local-only execution with AI-specific threat detection is under-served</t>
        </is>
      </c>
      <c r="C30" s="22" t="inlineStr">
        <is>
          <t>TASK</t>
        </is>
      </c>
      <c r="D30" s="22" t="inlineStr"/>
      <c r="E30" s="22" t="inlineStr"/>
      <c r="F30" s="41" t="n"/>
      <c r="G30" s="41" t="n"/>
      <c r="H30" s="41" t="n"/>
      <c r="I30" s="42" t="n">
        <v>4.5</v>
      </c>
      <c r="J30" s="22" t="inlineStr"/>
      <c r="K30" s="10" t="inlineStr">
        <is>
          <t>Not Started</t>
        </is>
      </c>
      <c r="L30" s="22" t="inlineStr">
        <is>
          <t>Hoang</t>
        </is>
      </c>
      <c r="M30" s="23" t="inlineStr"/>
    </row>
    <row r="31" ht="45" customHeight="1">
      <c r="A31" s="43" t="inlineStr">
        <is>
          <t>R.M4.T5</t>
        </is>
      </c>
      <c r="B31" s="20" t="inlineStr">
        <is>
          <t xml:space="preserve">    Compile differentiation evidence table: ZeroTrust.sh differentiator, evidence source, competitor, gap type</t>
        </is>
      </c>
      <c r="C31" s="19" t="inlineStr">
        <is>
          <t>TASK</t>
        </is>
      </c>
      <c r="D31" s="19" t="inlineStr"/>
      <c r="E31" s="19" t="inlineStr"/>
      <c r="F31" s="44" t="n"/>
      <c r="G31" s="44" t="n"/>
      <c r="H31" s="44" t="n"/>
      <c r="I31" s="45" t="n">
        <v>2.17</v>
      </c>
      <c r="J31" s="19" t="inlineStr"/>
      <c r="K31" s="10" t="inlineStr">
        <is>
          <t>Not Started</t>
        </is>
      </c>
      <c r="L31" s="19" t="inlineStr">
        <is>
          <t>Hoang</t>
        </is>
      </c>
      <c r="M31" s="20" t="inlineStr"/>
    </row>
    <row r="32" ht="5" customHeight="1"/>
    <row r="33" ht="40" customHeight="1">
      <c r="A33" s="4" t="inlineStr">
        <is>
          <t>R.M5</t>
        </is>
      </c>
      <c r="B33" s="34" t="inlineStr">
        <is>
          <t>Architecture Justification Document</t>
        </is>
      </c>
      <c r="C33" s="4" t="inlineStr">
        <is>
          <t>MILESTONE</t>
        </is>
      </c>
      <c r="D33" s="4" t="inlineStr">
        <is>
          <t>2026-07-07</t>
        </is>
      </c>
      <c r="E33" s="4" t="inlineStr">
        <is>
          <t>2026-07-25</t>
        </is>
      </c>
      <c r="F33" s="35" t="n">
        <v>6.5</v>
      </c>
      <c r="G33" s="35" t="n">
        <v>13</v>
      </c>
      <c r="H33" s="35" t="n">
        <v>30</v>
      </c>
      <c r="I33" s="36" t="n">
        <v>14.75</v>
      </c>
      <c r="J33" s="4" t="inlineStr"/>
      <c r="K33" s="4" t="inlineStr">
        <is>
          <t>Not Started</t>
        </is>
      </c>
      <c r="L33" s="4" t="inlineStr"/>
      <c r="M33" s="34" t="inlineStr">
        <is>
          <t>Formal document linking every major design decision to research evidence. Written for tech lead + stakeholders.</t>
        </is>
      </c>
    </row>
    <row r="34" ht="45" customHeight="1">
      <c r="A34" s="40" t="inlineStr">
        <is>
          <t>R.M5.T1</t>
        </is>
      </c>
      <c r="B34" s="23" t="inlineStr">
        <is>
          <t xml:space="preserve">    Write Path A justification section: Semgrep + CodeQL/Joern + LLM Verifier rationale with paper citations</t>
        </is>
      </c>
      <c r="C34" s="22" t="inlineStr">
        <is>
          <t>TASK</t>
        </is>
      </c>
      <c r="D34" s="22" t="inlineStr"/>
      <c r="E34" s="22" t="inlineStr"/>
      <c r="F34" s="41" t="n"/>
      <c r="G34" s="41" t="n"/>
      <c r="H34" s="41" t="n"/>
      <c r="I34" s="42" t="n">
        <v>2.33</v>
      </c>
      <c r="J34" s="22" t="inlineStr"/>
      <c r="K34" s="10" t="inlineStr">
        <is>
          <t>Not Started</t>
        </is>
      </c>
      <c r="L34" s="22" t="inlineStr">
        <is>
          <t>Hoang</t>
        </is>
      </c>
      <c r="M34" s="23" t="inlineStr"/>
    </row>
    <row r="35" ht="45" customHeight="1">
      <c r="A35" s="43" t="inlineStr">
        <is>
          <t>R.M5.T2</t>
        </is>
      </c>
      <c r="B35" s="20" t="inlineStr">
        <is>
          <t xml:space="preserve">    Write Path B justification section: cost-funnel rationale for each tier with paper citations</t>
        </is>
      </c>
      <c r="C35" s="19" t="inlineStr">
        <is>
          <t>TASK</t>
        </is>
      </c>
      <c r="D35" s="19" t="inlineStr"/>
      <c r="E35" s="19" t="inlineStr"/>
      <c r="F35" s="44" t="n"/>
      <c r="G35" s="44" t="n"/>
      <c r="H35" s="44" t="n"/>
      <c r="I35" s="45" t="n">
        <v>4.5</v>
      </c>
      <c r="J35" s="19" t="inlineStr"/>
      <c r="K35" s="10" t="inlineStr">
        <is>
          <t>Not Started</t>
        </is>
      </c>
      <c r="L35" s="19" t="inlineStr">
        <is>
          <t>Hoang</t>
        </is>
      </c>
      <c r="M35" s="20" t="inlineStr"/>
    </row>
    <row r="36" ht="45" customHeight="1">
      <c r="A36" s="40" t="inlineStr">
        <is>
          <t>R.M5.T3</t>
        </is>
      </c>
      <c r="B36" s="23" t="inlineStr">
        <is>
          <t xml:space="preserve">    Write Dedup and 5-tier Confidence Scoring justification with triple-path fusion rationale</t>
        </is>
      </c>
      <c r="C36" s="22" t="inlineStr">
        <is>
          <t>TASK</t>
        </is>
      </c>
      <c r="D36" s="22" t="inlineStr"/>
      <c r="E36" s="22" t="inlineStr"/>
      <c r="F36" s="41" t="n"/>
      <c r="G36" s="41" t="n"/>
      <c r="H36" s="41" t="n"/>
      <c r="I36" s="42" t="n">
        <v>2.33</v>
      </c>
      <c r="J36" s="22" t="inlineStr"/>
      <c r="K36" s="10" t="inlineStr">
        <is>
          <t>Not Started</t>
        </is>
      </c>
      <c r="L36" s="22" t="inlineStr">
        <is>
          <t>Hoang</t>
        </is>
      </c>
      <c r="M36" s="23" t="inlineStr"/>
    </row>
    <row r="37" ht="45" customHeight="1">
      <c r="A37" s="43" t="inlineStr">
        <is>
          <t>R.M5.T4</t>
        </is>
      </c>
      <c r="B37" s="20" t="inlineStr">
        <is>
          <t xml:space="preserve">    Write Differential Indexer justification: hash-based incremental scanning design</t>
        </is>
      </c>
      <c r="C37" s="19" t="inlineStr">
        <is>
          <t>TASK</t>
        </is>
      </c>
      <c r="D37" s="19" t="inlineStr"/>
      <c r="E37" s="19" t="inlineStr"/>
      <c r="F37" s="44" t="n"/>
      <c r="G37" s="44" t="n"/>
      <c r="H37" s="44" t="n"/>
      <c r="I37" s="45" t="n">
        <v>1.25</v>
      </c>
      <c r="J37" s="19" t="inlineStr"/>
      <c r="K37" s="10" t="inlineStr">
        <is>
          <t>Not Started</t>
        </is>
      </c>
      <c r="L37" s="19" t="inlineStr">
        <is>
          <t>Hoang</t>
        </is>
      </c>
      <c r="M37" s="20" t="inlineStr"/>
    </row>
    <row r="38" ht="45" customHeight="1">
      <c r="A38" s="40" t="inlineStr">
        <is>
          <t>R.M5.T5</t>
        </is>
      </c>
      <c r="B38" s="23" t="inlineStr">
        <is>
          <t xml:space="preserve">    Write PoE Layer justification and compile tech-lead narrative summary (&lt;=2 pages for non-technical stakeholders)</t>
        </is>
      </c>
      <c r="C38" s="22" t="inlineStr">
        <is>
          <t>TASK</t>
        </is>
      </c>
      <c r="D38" s="22" t="inlineStr"/>
      <c r="E38" s="22" t="inlineStr"/>
      <c r="F38" s="41" t="n"/>
      <c r="G38" s="41" t="n"/>
      <c r="H38" s="41" t="n"/>
      <c r="I38" s="42" t="n">
        <v>4.33</v>
      </c>
      <c r="J38" s="22" t="inlineStr"/>
      <c r="K38" s="10" t="inlineStr">
        <is>
          <t>Not Started</t>
        </is>
      </c>
      <c r="L38" s="22" t="inlineStr">
        <is>
          <t>Hoang</t>
        </is>
      </c>
      <c r="M38" s="23" t="inlineStr"/>
    </row>
    <row r="39" ht="5" customHeight="1"/>
    <row r="40" ht="40" customHeight="1">
      <c r="A40" s="4" t="inlineStr">
        <is>
          <t>R.M6</t>
        </is>
      </c>
      <c r="B40" s="34" t="inlineStr">
        <is>
          <t>Ongoing Research Monitoring</t>
        </is>
      </c>
      <c r="C40" s="4" t="inlineStr">
        <is>
          <t>MILESTONE</t>
        </is>
      </c>
      <c r="D40" s="4" t="inlineStr">
        <is>
          <t>2026-07-14</t>
        </is>
      </c>
      <c r="E40" s="4" t="inlineStr">
        <is>
          <t>2026-08-01</t>
        </is>
      </c>
      <c r="F40" s="35" t="n">
        <v>3.5</v>
      </c>
      <c r="G40" s="35" t="n">
        <v>8.5</v>
      </c>
      <c r="H40" s="35" t="n">
        <v>19</v>
      </c>
      <c r="I40" s="36" t="n">
        <v>9.42</v>
      </c>
      <c r="J40" s="4" t="inlineStr"/>
      <c r="K40" s="4" t="inlineStr">
        <is>
          <t>Not Started</t>
        </is>
      </c>
      <c r="L40" s="4" t="inlineStr"/>
      <c r="M40" s="34" t="inlineStr">
        <is>
          <t>Set up alert infrastructure for post-June-2026 papers. Forward-citation pass on top 5 most-cited papers.</t>
        </is>
      </c>
    </row>
    <row r="41" ht="45" customHeight="1">
      <c r="A41" s="43" t="inlineStr">
        <is>
          <t>R.M6.T1</t>
        </is>
      </c>
      <c r="B41" s="20" t="inlineStr">
        <is>
          <t xml:space="preserve">    Configure arXiv email digest alerts for all 7 research areas using category filters cs.CR, cs.SE, cs.LG</t>
        </is>
      </c>
      <c r="C41" s="19" t="inlineStr">
        <is>
          <t>TASK</t>
        </is>
      </c>
      <c r="D41" s="19" t="inlineStr"/>
      <c r="E41" s="19" t="inlineStr"/>
      <c r="F41" s="44" t="n"/>
      <c r="G41" s="44" t="n"/>
      <c r="H41" s="44" t="n"/>
      <c r="I41" s="45" t="n">
        <v>1.08</v>
      </c>
      <c r="J41" s="19" t="inlineStr"/>
      <c r="K41" s="10" t="inlineStr">
        <is>
          <t>Not Started</t>
        </is>
      </c>
      <c r="L41" s="19" t="inlineStr">
        <is>
          <t>Hoang</t>
        </is>
      </c>
      <c r="M41" s="20" t="inlineStr"/>
    </row>
    <row r="42" ht="45" customHeight="1">
      <c r="A42" s="40" t="inlineStr">
        <is>
          <t>R.M6.T2</t>
        </is>
      </c>
      <c r="B42" s="23" t="inlineStr">
        <is>
          <t xml:space="preserve">    Configure Google Scholar keyword alerts for ZeroTrust.sh-relevant terms</t>
        </is>
      </c>
      <c r="C42" s="22" t="inlineStr">
        <is>
          <t>TASK</t>
        </is>
      </c>
      <c r="D42" s="22" t="inlineStr"/>
      <c r="E42" s="22" t="inlineStr"/>
      <c r="F42" s="41" t="n"/>
      <c r="G42" s="41" t="n"/>
      <c r="H42" s="41" t="n"/>
      <c r="I42" s="42" t="n">
        <v>1.08</v>
      </c>
      <c r="J42" s="22" t="inlineStr"/>
      <c r="K42" s="10" t="inlineStr">
        <is>
          <t>Not Started</t>
        </is>
      </c>
      <c r="L42" s="22" t="inlineStr">
        <is>
          <t>Hoang</t>
        </is>
      </c>
      <c r="M42" s="23" t="inlineStr"/>
    </row>
    <row r="43" ht="45" customHeight="1">
      <c r="A43" s="43" t="inlineStr">
        <is>
          <t>R.M6.T3</t>
        </is>
      </c>
      <c r="B43" s="20" t="inlineStr">
        <is>
          <t xml:space="preserve">    Perform forward-citation pass on top 5 most-cited papers in the 40-paper catalogue</t>
        </is>
      </c>
      <c r="C43" s="19" t="inlineStr">
        <is>
          <t>TASK</t>
        </is>
      </c>
      <c r="D43" s="19" t="inlineStr"/>
      <c r="E43" s="19" t="inlineStr"/>
      <c r="F43" s="44" t="n"/>
      <c r="G43" s="44" t="n"/>
      <c r="H43" s="44" t="n"/>
      <c r="I43" s="45" t="n">
        <v>3.33</v>
      </c>
      <c r="J43" s="19" t="inlineStr"/>
      <c r="K43" s="10" t="inlineStr">
        <is>
          <t>Not Started</t>
        </is>
      </c>
      <c r="L43" s="19" t="inlineStr">
        <is>
          <t>Hoang</t>
        </is>
      </c>
      <c r="M43" s="20" t="inlineStr"/>
    </row>
    <row r="44" ht="45" customHeight="1">
      <c r="A44" s="40" t="inlineStr">
        <is>
          <t>R.M6.T4</t>
        </is>
      </c>
      <c r="B44" s="23" t="inlineStr">
        <is>
          <t xml:space="preserve">    Write monitoring runbook documenting exact search queries, weekly review steps, monthly deep-search protocol</t>
        </is>
      </c>
      <c r="C44" s="22" t="inlineStr">
        <is>
          <t>TASK</t>
        </is>
      </c>
      <c r="D44" s="22" t="inlineStr"/>
      <c r="E44" s="22" t="inlineStr"/>
      <c r="F44" s="41" t="n"/>
      <c r="G44" s="41" t="n"/>
      <c r="H44" s="41" t="n"/>
      <c r="I44" s="42" t="n">
        <v>2.17</v>
      </c>
      <c r="J44" s="22" t="inlineStr"/>
      <c r="K44" s="10" t="inlineStr">
        <is>
          <t>Not Started</t>
        </is>
      </c>
      <c r="L44" s="22" t="inlineStr">
        <is>
          <t>Hoang</t>
        </is>
      </c>
      <c r="M44" s="23" t="inlineStr"/>
    </row>
    <row r="45" ht="45" customHeight="1">
      <c r="A45" s="43" t="inlineStr">
        <is>
          <t>R.M6.T5</t>
        </is>
      </c>
      <c r="B45" s="20" t="inlineStr">
        <is>
          <t xml:space="preserve">    Integrate newly discovered papers into validation matrix; update benchmarks reference table if figures superseded</t>
        </is>
      </c>
      <c r="C45" s="19" t="inlineStr">
        <is>
          <t>TASK</t>
        </is>
      </c>
      <c r="D45" s="19" t="inlineStr"/>
      <c r="E45" s="19" t="inlineStr"/>
      <c r="F45" s="44" t="n"/>
      <c r="G45" s="44" t="n"/>
      <c r="H45" s="44" t="n"/>
      <c r="I45" s="45" t="n">
        <v>1.75</v>
      </c>
      <c r="J45" s="19" t="inlineStr"/>
      <c r="K45" s="10" t="inlineStr">
        <is>
          <t>Not Started</t>
        </is>
      </c>
      <c r="L45" s="19" t="inlineStr">
        <is>
          <t>Hoang</t>
        </is>
      </c>
      <c r="M45" s="20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0" customWidth="1" min="4" max="4"/>
    <col width="30" customWidth="1" min="5" max="5"/>
    <col width="20" customWidth="1" min="6" max="6"/>
    <col width="50" customWidth="1" min="7" max="7"/>
  </cols>
  <sheetData>
    <row r="1" ht="50" customHeight="1">
      <c r="A1" s="1" t="inlineStr">
        <is>
          <t>ZeroTrust.sh  ·  Planning Constraints Register</t>
        </is>
      </c>
    </row>
    <row r="2" ht="22" customHeight="1">
      <c r="A2" s="2" t="inlineStr">
        <is>
          <t>Intern: Ton Minh Hoang  ·  VNG ZingPlay Studio  ·  Last updated: 2026-06-12</t>
        </is>
      </c>
    </row>
    <row r="3" ht="6" customHeight="1"/>
    <row r="4" ht="50" customHeight="1">
      <c r="A4" s="4" t="inlineStr">
        <is>
          <t>ID</t>
        </is>
      </c>
      <c r="B4" s="4" t="inlineStr">
        <is>
          <t>Constraint</t>
        </is>
      </c>
      <c r="C4" s="4" t="inlineStr">
        <is>
          <t>Category</t>
        </is>
      </c>
      <c r="D4" s="4" t="inlineStr">
        <is>
          <t>Impact</t>
        </is>
      </c>
      <c r="E4" s="4" t="inlineStr">
        <is>
          <t>Applied To</t>
        </is>
      </c>
      <c r="F4" s="4" t="inlineStr">
        <is>
          <t>Buffer Added</t>
        </is>
      </c>
      <c r="G4" s="4" t="inlineStr">
        <is>
          <t>Notes</t>
        </is>
      </c>
    </row>
    <row r="5" ht="60" customHeight="1">
      <c r="A5" s="54" t="inlineStr">
        <is>
          <t>C-01</t>
        </is>
      </c>
      <c r="B5" s="55" t="inlineStr">
        <is>
          <t>Developer has no prior Go experience entering G2</t>
        </is>
      </c>
      <c r="C5" s="54" t="inlineStr">
        <is>
          <t>Experience</t>
        </is>
      </c>
      <c r="D5" s="54" t="inlineStr">
        <is>
          <t>High</t>
        </is>
      </c>
      <c r="E5" s="55" t="inlineStr">
        <is>
          <t>G2 (M1-M3); G3 (all milestones)</t>
        </is>
      </c>
      <c r="F5" s="55" t="inlineStr">
        <is>
          <t>+20% applied to ML estimate on all Go-first tasks in G2 M1-M3</t>
        </is>
      </c>
      <c r="G5" s="55" t="inlineStr">
        <is>
          <t>AI assistance (Copilot / Claude Code) estimated to reduce effective learning time by 40-60% vs. unaided learning. Buffer not reduced — AI reduces blocked-state duration, not probability.</t>
        </is>
      </c>
    </row>
    <row r="6" ht="60" customHeight="1">
      <c r="A6" s="54" t="inlineStr">
        <is>
          <t>C-02</t>
        </is>
      </c>
      <c r="B6" s="55" t="inlineStr">
        <is>
          <t>8-week internship window (Jun 9 – Aug 1, 2026) at approximately 6 productive hours per day</t>
        </is>
      </c>
      <c r="C6" s="54" t="inlineStr">
        <is>
          <t>Time</t>
        </is>
      </c>
      <c r="D6" s="54" t="inlineStr">
        <is>
          <t>High</t>
        </is>
      </c>
      <c r="E6" s="55" t="inlineStr">
        <is>
          <t>All goals</t>
        </is>
      </c>
      <c r="F6" s="55" t="inlineStr">
        <is>
          <t>Total capacity: ~240 h. Allocated: ~300 h PERT E across all goals. Research milestones interleaved with implementation.</t>
        </is>
      </c>
      <c r="G6" s="55" t="inlineStr">
        <is>
          <t>Research milestones (R.M1-R.M6) are designed to be interleaved with implementation work, not sequential. Research reading occurs during low-energy periods; coding during peak focus hours.</t>
        </is>
      </c>
    </row>
    <row r="7" ht="60" customHeight="1">
      <c r="A7" s="54" t="inlineStr">
        <is>
          <t>C-03</t>
        </is>
      </c>
      <c r="B7" s="55" t="inlineStr">
        <is>
          <t>G1 tech lead presentation is fixed at 2026-06-27 — this date cannot slip</t>
        </is>
      </c>
      <c r="C7" s="54" t="inlineStr">
        <is>
          <t>Time</t>
        </is>
      </c>
      <c r="D7" s="54" t="inlineStr">
        <is>
          <t>High</t>
        </is>
      </c>
      <c r="E7" s="55" t="inlineStr">
        <is>
          <t>G1 (all milestones)</t>
        </is>
      </c>
      <c r="F7" s="55" t="inlineStr">
        <is>
          <t>None — date is immovable. Stretch items cut first if M1.4 runs late.</t>
        </is>
      </c>
      <c r="G7" s="55" t="inlineStr">
        <is>
          <t>If M1.4 (Finding Schema) is not complete by Jun 26 EOD, any stretch work is automatically cancelled. Demo recording fallback must exist before Jun 26.</t>
        </is>
      </c>
    </row>
    <row r="8" ht="60" customHeight="1">
      <c r="A8" s="11" t="inlineStr">
        <is>
          <t>C-04</t>
        </is>
      </c>
      <c r="B8" s="37" t="inlineStr">
        <is>
          <t>G2 Path A checkpoint targeted for 2026-07-18</t>
        </is>
      </c>
      <c r="C8" s="11" t="inlineStr">
        <is>
          <t>Time</t>
        </is>
      </c>
      <c r="D8" s="11" t="inlineStr">
        <is>
          <t>Medium</t>
        </is>
      </c>
      <c r="E8" s="37" t="inlineStr">
        <is>
          <t>G2 (M4)</t>
        </is>
      </c>
      <c r="F8" s="37" t="inlineStr">
        <is>
          <t>2.BUF (13h) provides absorption window.</t>
        </is>
      </c>
      <c r="G8" s="37" t="inlineStr">
        <is>
          <t>Date is soft — can slip 1-2 days if integration testing reveals critical bugs. Must not slip past Jul 21 (G3 start date).</t>
        </is>
      </c>
    </row>
    <row r="9" ht="60" customHeight="1">
      <c r="A9" s="54" t="inlineStr">
        <is>
          <t>C-05</t>
        </is>
      </c>
      <c r="B9" s="55" t="inlineStr">
        <is>
          <t>Demo deadline is 2026-08-06; submission cutoff is 2026-08-08</t>
        </is>
      </c>
      <c r="C9" s="54" t="inlineStr">
        <is>
          <t>Time</t>
        </is>
      </c>
      <c r="D9" s="54" t="inlineStr">
        <is>
          <t>High</t>
        </is>
      </c>
      <c r="E9" s="55" t="inlineStr">
        <is>
          <t>G4 (all milestones)</t>
        </is>
      </c>
      <c r="F9" s="55" t="inlineStr">
        <is>
          <t>4.BUF (3h) is the only buffer. No slack beyond Aug 8.</t>
        </is>
      </c>
      <c r="G9" s="55" t="inlineStr">
        <is>
          <t>G4 is 34h of PERT E in 5 days. Pre-stub of SSVC dedup skeleton and HTML report shell during G3 final week (Jul 28-31) is required to meet this deadline.</t>
        </is>
      </c>
    </row>
    <row r="10" ht="60" customHeight="1">
      <c r="A10" s="11" t="inlineStr">
        <is>
          <t>C-06</t>
        </is>
      </c>
      <c r="B10" s="37" t="inlineStr">
        <is>
          <t>Ollama LLM runtime requires a 4-8 GB quantized GGUF model download before any LLM task in G2 can begin</t>
        </is>
      </c>
      <c r="C10" s="11" t="inlineStr">
        <is>
          <t>Tool</t>
        </is>
      </c>
      <c r="D10" s="11" t="inlineStr">
        <is>
          <t>Medium</t>
        </is>
      </c>
      <c r="E10" s="37" t="inlineStr">
        <is>
          <t>G2 (M3: LLM Verifier; M3: LLM Semantic Scan)</t>
        </is>
      </c>
      <c r="F10" s="37" t="inlineStr">
        <is>
          <t>0.5 day pre-setup buffer built into the Jun 30 sprint start</t>
        </is>
      </c>
      <c r="G10" s="37" t="inlineStr">
        <is>
          <t>Model: CodeLlama-7B-Instruct or Mistral-7B-Instruct-v0.2 (recommended). Download must happen before Jul 11 (M3 start date). Corporate network proxy settings may add setup time.</t>
        </is>
      </c>
    </row>
    <row r="11" ht="60" customHeight="1">
      <c r="A11" s="11" t="inlineStr">
        <is>
          <t>C-07</t>
        </is>
      </c>
      <c r="B11" s="37" t="inlineStr">
        <is>
          <t>G4 PoE Layer (4.M4) requires Docker Desktop installed and running on the development machine</t>
        </is>
      </c>
      <c r="C11" s="11" t="inlineStr">
        <is>
          <t>Environment</t>
        </is>
      </c>
      <c r="D11" s="11" t="inlineStr">
        <is>
          <t>Medium</t>
        </is>
      </c>
      <c r="E11" s="37" t="inlineStr">
        <is>
          <t>G4 (M4: Docker Sandbox) — stretch only</t>
        </is>
      </c>
      <c r="F11" s="37" t="inlineStr">
        <is>
          <t>0.5 day installation buffer included in 4.M4 PERT E estimate</t>
        </is>
      </c>
      <c r="G11" s="37" t="inlineStr">
        <is>
          <t>Corporate machines may have Docker Desktop blocked by IT policy. Fallback: use Podman (drop-in replacement with same Docker SDK API). Verify Docker availability on Aug 1.</t>
        </is>
      </c>
    </row>
    <row r="12" ht="60" customHeight="1">
      <c r="A12" s="56" t="inlineStr">
        <is>
          <t>C-08</t>
        </is>
      </c>
      <c r="B12" s="57" t="inlineStr">
        <is>
          <t>Semgrep CLI version must be pinned in all demo scripts to ensure reproducible output across machines</t>
        </is>
      </c>
      <c r="C12" s="56" t="inlineStr">
        <is>
          <t>Tool</t>
        </is>
      </c>
      <c r="D12" s="56" t="inlineStr">
        <is>
          <t>Low</t>
        </is>
      </c>
      <c r="E12" s="57" t="inlineStr">
        <is>
          <t>G1 (M1: rule suite); G4 (M3: demo prep)</t>
        </is>
      </c>
      <c r="F12" s="57" t="inlineStr">
        <is>
          <t>1 h included in demo prep tasks to handle version verification</t>
        </is>
      </c>
      <c r="G12" s="57" t="inlineStr">
        <is>
          <t>Semgrep YAML rule syntax can differ between minor versions. Pin to the version used during rule development. Document in demo/README.md.</t>
        </is>
      </c>
    </row>
    <row r="13" ht="60" customHeight="1">
      <c r="A13" s="11" t="inlineStr">
        <is>
          <t>C-09</t>
        </is>
      </c>
      <c r="B13" s="37" t="inlineStr">
        <is>
          <t>Mentor/tech lead review cycles take 2-3 business days per round</t>
        </is>
      </c>
      <c r="C13" s="11" t="inlineStr">
        <is>
          <t>Dependency</t>
        </is>
      </c>
      <c r="D13" s="11" t="inlineStr">
        <is>
          <t>Medium</t>
        </is>
      </c>
      <c r="E13" s="37" t="inlineStr">
        <is>
          <t>All goals — presentation milestones and architecture decisions</t>
        </is>
      </c>
      <c r="F13" s="37" t="inlineStr">
        <is>
          <t>Explicit buffer rows in each goal absorb review wait time</t>
        </is>
      </c>
      <c r="G13" s="37" t="inlineStr">
        <is>
          <t>Architecture sign-off for G2/G3 is gated on G1 tech lead approval (Jun 27). Submit G1 materials at least 2 days before Jun 27 to allow feedback incorporation.</t>
        </is>
      </c>
    </row>
    <row r="14" ht="60" customHeight="1">
      <c r="A14" s="11" t="inlineStr">
        <is>
          <t>C-10</t>
        </is>
      </c>
      <c r="B14" s="37" t="inlineStr">
        <is>
          <t>Detailed planning for G2 and G3 is deferred until the G1 tech lead presentation is approved</t>
        </is>
      </c>
      <c r="C14" s="11" t="inlineStr">
        <is>
          <t>Dependency</t>
        </is>
      </c>
      <c r="D14" s="11" t="inlineStr">
        <is>
          <t>Medium</t>
        </is>
      </c>
      <c r="E14" s="37" t="inlineStr">
        <is>
          <t>G2 (start gate); G3 (start gate)</t>
        </is>
      </c>
      <c r="F14" s="37" t="inlineStr">
        <is>
          <t>G2 officially starts Jun 30 — 3 days after the G1 presentation, allowing for feedback incorporation.</t>
        </is>
      </c>
      <c r="G14" s="37" t="inlineStr">
        <is>
          <t>If G1 tech lead requests major scope changes, G2 milestones may need to be re-estimated. The 3-day gap (Jun 27-30) is intentionally left as a planning and adjustment window.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6" customWidth="1" min="2" max="2"/>
    <col width="22" customWidth="1" min="3" max="3"/>
    <col width="6" customWidth="1" min="4" max="4"/>
    <col width="24" customWidth="1" min="5" max="5"/>
    <col width="26" customWidth="1" min="6" max="6"/>
    <col width="38" customWidth="1" min="7" max="7"/>
    <col width="14" customWidth="1" min="8" max="8"/>
    <col width="50" customWidth="1" min="9" max="9"/>
    <col width="40" customWidth="1" min="10" max="10"/>
    <col width="62" customWidth="1" min="11" max="11"/>
  </cols>
  <sheetData>
    <row r="1" ht="30" customHeight="1">
      <c r="A1" s="58" t="inlineStr">
        <is>
          <t>ZeroTrust.sh  ·  Research Paper Manager</t>
        </is>
      </c>
    </row>
    <row r="2" ht="18" customHeight="1">
      <c r="A2" s="59" t="inlineStr">
        <is>
          <t>Smart Paper Manager  ·  Use column dropdowns (▾) to filter by Category, Tags, Read Status  ·  Click any column header to sort  ·  Write your notes in column K</t>
        </is>
      </c>
    </row>
    <row r="3" ht="6" customHeight="1"/>
    <row r="4" ht="22" customHeight="1">
      <c r="A4" s="60" t="inlineStr">
        <is>
          <t>#</t>
        </is>
      </c>
      <c r="B4" s="60" t="inlineStr">
        <is>
          <t>Title</t>
        </is>
      </c>
      <c r="C4" s="60" t="inlineStr">
        <is>
          <t>Authors</t>
        </is>
      </c>
      <c r="D4" s="60" t="inlineStr">
        <is>
          <t>Year</t>
        </is>
      </c>
      <c r="E4" s="60" t="inlineStr">
        <is>
          <t>Venue</t>
        </is>
      </c>
      <c r="F4" s="60" t="inlineStr">
        <is>
          <t>Category</t>
        </is>
      </c>
      <c r="G4" s="60" t="inlineStr">
        <is>
          <t>Tags</t>
        </is>
      </c>
      <c r="H4" s="60" t="inlineStr">
        <is>
          <t>Read Status</t>
        </is>
      </c>
      <c r="I4" s="60" t="inlineStr">
        <is>
          <t>Relevance to ZeroTrust.sh</t>
        </is>
      </c>
      <c r="J4" s="60" t="inlineStr">
        <is>
          <t>URL</t>
        </is>
      </c>
      <c r="K4" s="60" t="inlineStr">
        <is>
          <t>Literature Review Notes</t>
        </is>
      </c>
    </row>
    <row r="5" ht="60" customHeight="1">
      <c r="A5" s="61" t="n">
        <v>1</v>
      </c>
      <c r="B5" s="62" t="inlineStr">
        <is>
          <t>Automated Vulnerability Detection in Source Code Using Deep Representation Learning</t>
        </is>
      </c>
      <c r="C5" s="62" t="inlineStr">
        <is>
          <t>Feng et al.</t>
        </is>
      </c>
      <c r="D5" s="63" t="inlineStr">
        <is>
          <t>2026</t>
        </is>
      </c>
      <c r="E5" s="62" t="inlineStr">
        <is>
          <t>arXiv</t>
        </is>
      </c>
      <c r="F5" s="62" t="inlineStr">
        <is>
          <t>ML/DL Detection</t>
        </is>
      </c>
      <c r="G5" s="62" t="inlineStr">
        <is>
          <t>CNN, deep representation learning, source code, vulnerability classifier</t>
        </is>
      </c>
      <c r="H5" s="64" t="inlineStr">
        <is>
          <t>Unread</t>
        </is>
      </c>
      <c r="I5" s="62" t="inlineStr">
        <is>
          <t>CNN-based deep representation learning for vulnerability detection — validates ML classifier gate in Path B Tier 2</t>
        </is>
      </c>
      <c r="J5" s="65" t="inlineStr">
        <is>
          <t>https://arxiv.org/abs/2602.23121</t>
        </is>
      </c>
      <c r="K5" s="66" t="inlineStr">
        <is>
          <t>Write your notes here…</t>
        </is>
      </c>
    </row>
    <row r="6" ht="60" customHeight="1">
      <c r="A6" s="67" t="n">
        <v>2</v>
      </c>
      <c r="B6" s="68" t="inlineStr">
        <is>
          <t>DiverseVul: A New Vulnerable Source Code Dataset for Deep Learning Based Vulnerability Detection</t>
        </is>
      </c>
      <c r="C6" s="68" t="inlineStr">
        <is>
          <t>Jia et al.</t>
        </is>
      </c>
      <c r="D6" s="69" t="inlineStr">
        <is>
          <t>2023</t>
        </is>
      </c>
      <c r="E6" s="68" t="inlineStr">
        <is>
          <t>RAID 2023 / ACM</t>
        </is>
      </c>
      <c r="F6" s="68" t="inlineStr">
        <is>
          <t>ML/DL Detection</t>
        </is>
      </c>
      <c r="G6" s="68" t="inlineStr">
        <is>
          <t>dataset, C/C++, CWE, BigVul alternative, training data, benchmark, 18945 functions</t>
        </is>
      </c>
      <c r="H6" s="64" t="inlineStr">
        <is>
          <t>Unread</t>
        </is>
      </c>
      <c r="I6" s="68" t="inlineStr">
        <is>
          <t>Largest diverse C/C++ vulnerability dataset (18,945 functions, 150 CWEs) — training data source for Code Vulnerability Classifier</t>
        </is>
      </c>
      <c r="J6" s="70" t="inlineStr">
        <is>
          <t>https://arxiv.org/abs/2304.00409</t>
        </is>
      </c>
      <c r="K6" s="71" t="inlineStr">
        <is>
          <t>Write your notes here…</t>
        </is>
      </c>
    </row>
    <row r="7" ht="60" customHeight="1">
      <c r="A7" s="61" t="n">
        <v>3</v>
      </c>
      <c r="B7" s="62" t="inlineStr">
        <is>
          <t>Vulnerability Detection in C/C++ Code with Deep Learning</t>
        </is>
      </c>
      <c r="C7" s="62" t="inlineStr">
        <is>
          <t>Multiple authors</t>
        </is>
      </c>
      <c r="D7" s="63" t="inlineStr">
        <is>
          <t>2024</t>
        </is>
      </c>
      <c r="E7" s="62" t="inlineStr">
        <is>
          <t>arXiv</t>
        </is>
      </c>
      <c r="F7" s="62" t="inlineStr">
        <is>
          <t>ML/DL Detection</t>
        </is>
      </c>
      <c r="G7" s="62" t="inlineStr">
        <is>
          <t>neural network, program slicing, C/C++, deep learning</t>
        </is>
      </c>
      <c r="H7" s="64" t="inlineStr">
        <is>
          <t>Unread</t>
        </is>
      </c>
      <c r="I7" s="62" t="inlineStr">
        <is>
          <t>Neural networks with program slices for vulnerability detection — informs Tier 2 classifier design</t>
        </is>
      </c>
      <c r="J7" s="65" t="inlineStr">
        <is>
          <t>https://arxiv.org/abs/2405.12384</t>
        </is>
      </c>
      <c r="K7" s="66" t="inlineStr">
        <is>
          <t>Write your notes here…</t>
        </is>
      </c>
    </row>
    <row r="8" ht="60" customHeight="1">
      <c r="A8" s="67" t="n">
        <v>4</v>
      </c>
      <c r="B8" s="68" t="inlineStr">
        <is>
          <t>Deep Learning Aided Software Vulnerability Detection: A Survey</t>
        </is>
      </c>
      <c r="C8" s="68" t="inlineStr">
        <is>
          <t>Survey authors</t>
        </is>
      </c>
      <c r="D8" s="69" t="inlineStr">
        <is>
          <t>2025</t>
        </is>
      </c>
      <c r="E8" s="68" t="inlineStr">
        <is>
          <t>arXiv</t>
        </is>
      </c>
      <c r="F8" s="68" t="inlineStr">
        <is>
          <t>ML/DL Detection</t>
        </is>
      </c>
      <c r="G8" s="68" t="inlineStr">
        <is>
          <t>survey, deep learning, vulnerability detection, baseline comparison</t>
        </is>
      </c>
      <c r="H8" s="64" t="inlineStr">
        <is>
          <t>Unread</t>
        </is>
      </c>
      <c r="I8" s="68" t="inlineStr">
        <is>
          <t>Comprehensive DL survey for vulnerability detection — baseline reference for Tier 2 classifier selection</t>
        </is>
      </c>
      <c r="J8" s="70" t="inlineStr">
        <is>
          <t>https://arxiv.org/abs/2503.04002</t>
        </is>
      </c>
      <c r="K8" s="71" t="inlineStr">
        <is>
          <t>Write your notes here…</t>
        </is>
      </c>
    </row>
    <row r="9" ht="60" customHeight="1">
      <c r="A9" s="61" t="n">
        <v>5</v>
      </c>
      <c r="B9" s="62" t="inlineStr">
        <is>
          <t>Software Vulnerability Detection Using a Lightweight Graph Neural Network (VulGNN)</t>
        </is>
      </c>
      <c r="C9" s="62" t="inlineStr">
        <is>
          <t>Zhu et al.</t>
        </is>
      </c>
      <c r="D9" s="63" t="inlineStr">
        <is>
          <t>2026</t>
        </is>
      </c>
      <c r="E9" s="62" t="inlineStr">
        <is>
          <t>arXiv</t>
        </is>
      </c>
      <c r="F9" s="62" t="inlineStr">
        <is>
          <t>Graph Neural Networks</t>
        </is>
      </c>
      <c r="G9" s="62" t="inlineStr">
        <is>
          <t>GNN, lightweight, LLM-parity, local inference, classifier, small model</t>
        </is>
      </c>
      <c r="H9" s="64" t="inlineStr">
        <is>
          <t>Unread</t>
        </is>
      </c>
      <c r="I9" s="62" t="inlineStr">
        <is>
          <t>Lightweight GNN achieving LLM-parity at 100x smaller size — validates cheap local classifier concept in new architecture</t>
        </is>
      </c>
      <c r="J9" s="65" t="inlineStr">
        <is>
          <t>https://arxiv.org/abs/2603.29216</t>
        </is>
      </c>
      <c r="K9" s="66" t="inlineStr">
        <is>
          <t>Write your notes here…</t>
        </is>
      </c>
    </row>
    <row r="10" ht="60" customHeight="1">
      <c r="A10" s="67" t="n">
        <v>6</v>
      </c>
      <c r="B10" s="68" t="inlineStr">
        <is>
          <t>Vul-LMGNNs: Fusing Language Models and Graph Neural Networks for Code Vulnerability Detection</t>
        </is>
      </c>
      <c r="C10" s="68" t="inlineStr">
        <is>
          <t>Rong et al.</t>
        </is>
      </c>
      <c r="D10" s="69" t="inlineStr">
        <is>
          <t>2024</t>
        </is>
      </c>
      <c r="E10" s="68" t="inlineStr">
        <is>
          <t>arXiv</t>
        </is>
      </c>
      <c r="F10" s="68" t="inlineStr">
        <is>
          <t>Graph Neural Networks</t>
        </is>
      </c>
      <c r="G10" s="68" t="inlineStr">
        <is>
          <t>GNN, language model, hybrid, code representation, code LM</t>
        </is>
      </c>
      <c r="H10" s="64" t="inlineStr">
        <is>
          <t>Unread</t>
        </is>
      </c>
      <c r="I10" s="68" t="inlineStr">
        <is>
          <t>Hybrid code LM + GNN — informs Call Graph + Classifier integration in Path B Tier 2</t>
        </is>
      </c>
      <c r="J10" s="70" t="inlineStr">
        <is>
          <t>https://arxiv.org/abs/2404.14719</t>
        </is>
      </c>
      <c r="K10" s="71" t="inlineStr">
        <is>
          <t>Write your notes here…</t>
        </is>
      </c>
    </row>
    <row r="11" ht="60" customHeight="1">
      <c r="A11" s="61" t="n">
        <v>7</v>
      </c>
      <c r="B11" s="62" t="inlineStr">
        <is>
          <t>Structure-Aware Code Vulnerability Analysis With Graph Neural Networks</t>
        </is>
      </c>
      <c r="C11" s="62" t="inlineStr">
        <is>
          <t>Allamanis et al.</t>
        </is>
      </c>
      <c r="D11" s="63" t="inlineStr">
        <is>
          <t>2024</t>
        </is>
      </c>
      <c r="E11" s="62" t="inlineStr">
        <is>
          <t>arXiv</t>
        </is>
      </c>
      <c r="F11" s="62" t="inlineStr">
        <is>
          <t>Graph Neural Networks</t>
        </is>
      </c>
      <c r="G11" s="62" t="inlineStr">
        <is>
          <t>GNN, Java, structure-aware, vulnerability fixing, commit-level</t>
        </is>
      </c>
      <c r="H11" s="64" t="inlineStr">
        <is>
          <t>Unread</t>
        </is>
      </c>
      <c r="I11" s="62" t="inlineStr">
        <is>
          <t>GNN-based vulnerability analysis using Java vulnerability-fixing commits — informs structure-aware detection</t>
        </is>
      </c>
      <c r="J11" s="65" t="inlineStr">
        <is>
          <t>https://arxiv.org/abs/2307.11454</t>
        </is>
      </c>
      <c r="K11" s="66" t="inlineStr">
        <is>
          <t>Write your notes here…</t>
        </is>
      </c>
    </row>
    <row r="12" ht="60" customHeight="1">
      <c r="A12" s="67" t="n">
        <v>8</v>
      </c>
      <c r="B12" s="68" t="inlineStr">
        <is>
          <t>Graph Neural Networks for Vulnerability Detection: A Counterfactual Explanation</t>
        </is>
      </c>
      <c r="C12" s="68" t="inlineStr">
        <is>
          <t>Li et al.</t>
        </is>
      </c>
      <c r="D12" s="69" t="inlineStr">
        <is>
          <t>2024</t>
        </is>
      </c>
      <c r="E12" s="68" t="inlineStr">
        <is>
          <t>arXiv</t>
        </is>
      </c>
      <c r="F12" s="68" t="inlineStr">
        <is>
          <t>Graph Neural Networks</t>
        </is>
      </c>
      <c r="G12" s="68" t="inlineStr">
        <is>
          <t>GNN, explainability, counterfactual, confidence scoring, interpretability</t>
        </is>
      </c>
      <c r="H12" s="64" t="inlineStr">
        <is>
          <t>Unread</t>
        </is>
      </c>
      <c r="I12" s="68" t="inlineStr">
        <is>
          <t>Explainability analysis of GNN detection — informs confidence scoring in Dedup layer</t>
        </is>
      </c>
      <c r="J12" s="70" t="inlineStr">
        <is>
          <t>https://arxiv.org/abs/2404.15687</t>
        </is>
      </c>
      <c r="K12" s="71" t="inlineStr">
        <is>
          <t>Write your notes here…</t>
        </is>
      </c>
    </row>
    <row r="13" ht="60" customHeight="1">
      <c r="A13" s="61" t="n">
        <v>9</v>
      </c>
      <c r="B13" s="62" t="inlineStr">
        <is>
          <t>ReGVD: Revisiting Graph Neural Networks for Vulnerability Detection</t>
        </is>
      </c>
      <c r="C13" s="62" t="inlineStr">
        <is>
          <t>Nguyen et al.</t>
        </is>
      </c>
      <c r="D13" s="63" t="inlineStr">
        <is>
          <t>2022</t>
        </is>
      </c>
      <c r="E13" s="62" t="inlineStr">
        <is>
          <t>ACM/IEEE</t>
        </is>
      </c>
      <c r="F13" s="62" t="inlineStr">
        <is>
          <t>Graph Neural Networks</t>
        </is>
      </c>
      <c r="G13" s="62" t="inlineStr">
        <is>
          <t>GNN, token sequence, baseline, benchmark, foundational</t>
        </is>
      </c>
      <c r="H13" s="64" t="inlineStr">
        <is>
          <t>Unread</t>
        </is>
      </c>
      <c r="I13" s="62" t="inlineStr">
        <is>
          <t>Foundational GNN model treating source code as flat token sequences — baseline for Tier 2 classifier</t>
        </is>
      </c>
      <c r="J13" s="65" t="inlineStr">
        <is>
          <t>https://dl.acm.org/doi/abs/10.1145/3510454.3516865</t>
        </is>
      </c>
      <c r="K13" s="66" t="inlineStr">
        <is>
          <t>Write your notes here…</t>
        </is>
      </c>
    </row>
    <row r="14" ht="60" customHeight="1">
      <c r="A14" s="67" t="n">
        <v>10</v>
      </c>
      <c r="B14" s="68" t="inlineStr">
        <is>
          <t>LineVD: Statement-level Vulnerability Detection using Graph Neural Networks</t>
        </is>
      </c>
      <c r="C14" s="68" t="inlineStr">
        <is>
          <t>Chen et al.</t>
        </is>
      </c>
      <c r="D14" s="69" t="inlineStr">
        <is>
          <t>2022</t>
        </is>
      </c>
      <c r="E14" s="68" t="inlineStr">
        <is>
          <t>arXiv</t>
        </is>
      </c>
      <c r="F14" s="68" t="inlineStr">
        <is>
          <t>Graph Neural Networks</t>
        </is>
      </c>
      <c r="G14" s="68" t="inlineStr">
        <is>
          <t>GNN, statement-level, line localization, fine-grained, HTML report</t>
        </is>
      </c>
      <c r="H14" s="64" t="inlineStr">
        <is>
          <t>Unread</t>
        </is>
      </c>
      <c r="I14" s="68" t="inlineStr">
        <is>
          <t>Fine-grained GNN vulnerability localization — informs line-level finding output in HTML report</t>
        </is>
      </c>
      <c r="J14" s="70" t="inlineStr">
        <is>
          <t>https://arxiv.org/abs/2203.05181</t>
        </is>
      </c>
      <c r="K14" s="71" t="inlineStr">
        <is>
          <t>Write your notes here…</t>
        </is>
      </c>
    </row>
    <row r="15" ht="60" customHeight="1">
      <c r="A15" s="61" t="n">
        <v>11</v>
      </c>
      <c r="B15" s="62" t="inlineStr">
        <is>
          <t>LLMs in Code Vulnerability Analysis: A Proof of Concept</t>
        </is>
      </c>
      <c r="C15" s="62" t="inlineStr">
        <is>
          <t>Kochling et al.</t>
        </is>
      </c>
      <c r="D15" s="63" t="inlineStr">
        <is>
          <t>2026</t>
        </is>
      </c>
      <c r="E15" s="62" t="inlineStr">
        <is>
          <t>arXiv</t>
        </is>
      </c>
      <c r="F15" s="62" t="inlineStr">
        <is>
          <t>LLM Code Analysis</t>
        </is>
      </c>
      <c r="G15" s="62" t="inlineStr">
        <is>
          <t>LLM, empirical, proof-of-concept, zero-shot, Path B validation</t>
        </is>
      </c>
      <c r="H15" s="64" t="inlineStr">
        <is>
          <t>Unread</t>
        </is>
      </c>
      <c r="I15" s="62" t="inlineStr">
        <is>
          <t>Empirical PoC for LLM vulnerability analysis — validates LLM Semantic Scan role in Path B Tier 3</t>
        </is>
      </c>
      <c r="J15" s="65" t="inlineStr">
        <is>
          <t>https://arxiv.org/abs/2601.08691</t>
        </is>
      </c>
      <c r="K15" s="66" t="inlineStr">
        <is>
          <t>Write your notes here…</t>
        </is>
      </c>
    </row>
    <row r="16" ht="60" customHeight="1">
      <c r="A16" s="67" t="n">
        <v>12</v>
      </c>
      <c r="B16" s="68" t="inlineStr">
        <is>
          <t>IRIS: LLM-Assisted Static Analysis for Detecting Security Vulnerabilities</t>
        </is>
      </c>
      <c r="C16" s="68" t="inlineStr">
        <is>
          <t>Scanlon et al.</t>
        </is>
      </c>
      <c r="D16" s="69" t="inlineStr">
        <is>
          <t>2024</t>
        </is>
      </c>
      <c r="E16" s="68" t="inlineStr">
        <is>
          <t>arXiv</t>
        </is>
      </c>
      <c r="F16" s="68" t="inlineStr">
        <is>
          <t>LLM Code Analysis</t>
        </is>
      </c>
      <c r="G16" s="68" t="inlineStr">
        <is>
          <t>hybrid SAST+LLM, false positive, 80% FP reduction, IRIS, key paper</t>
        </is>
      </c>
      <c r="H16" s="64" t="inlineStr">
        <is>
          <t>Unread</t>
        </is>
      </c>
      <c r="I16" s="68" t="inlineStr">
        <is>
          <t>Hybrid SAST+LLM detecting 55/120 vulns + 6 new, reducing FP by 80% — directly validates ZeroTrust.sh hybrid design</t>
        </is>
      </c>
      <c r="J16" s="70" t="inlineStr">
        <is>
          <t>https://arxiv.org/abs/2405.17238</t>
        </is>
      </c>
      <c r="K16" s="71" t="inlineStr">
        <is>
          <t>Write your notes here…</t>
        </is>
      </c>
    </row>
    <row r="17" ht="60" customHeight="1">
      <c r="A17" s="61" t="n">
        <v>13</v>
      </c>
      <c r="B17" s="62" t="inlineStr">
        <is>
          <t>Large Language Model for Vulnerability Detection and Repair: Literature Review and the Road Ahead</t>
        </is>
      </c>
      <c r="C17" s="62" t="inlineStr">
        <is>
          <t>Zhang et al.</t>
        </is>
      </c>
      <c r="D17" s="63" t="inlineStr">
        <is>
          <t>2025</t>
        </is>
      </c>
      <c r="E17" s="62" t="inlineStr">
        <is>
          <t>ACM TOSEM</t>
        </is>
      </c>
      <c r="F17" s="62" t="inlineStr">
        <is>
          <t>LLM Code Analysis</t>
        </is>
      </c>
      <c r="G17" s="62" t="inlineStr">
        <is>
          <t>survey, LLM, vulnerability repair, patch generation, comprehensive review</t>
        </is>
      </c>
      <c r="H17" s="64" t="inlineStr">
        <is>
          <t>Unread</t>
        </is>
      </c>
      <c r="I17" s="62" t="inlineStr">
        <is>
          <t>Comprehensive LLM vulnerability + repair survey — informs patch generation design across all approaches</t>
        </is>
      </c>
      <c r="J17" s="65" t="inlineStr">
        <is>
          <t>https://dl.acm.org/doi/10.1145/3708522</t>
        </is>
      </c>
      <c r="K17" s="66" t="inlineStr">
        <is>
          <t>Write your notes here…</t>
        </is>
      </c>
    </row>
    <row r="18" ht="60" customHeight="1">
      <c r="A18" s="67" t="n">
        <v>14</v>
      </c>
      <c r="B18" s="68" t="inlineStr">
        <is>
          <t>Understanding the Effectiveness of LLMs in Detecting Security Vulnerabilities</t>
        </is>
      </c>
      <c r="C18" s="68" t="inlineStr">
        <is>
          <t>Steenhoek et al.</t>
        </is>
      </c>
      <c r="D18" s="69" t="inlineStr">
        <is>
          <t>2023</t>
        </is>
      </c>
      <c r="E18" s="68" t="inlineStr">
        <is>
          <t>arXiv</t>
        </is>
      </c>
      <c r="F18" s="68" t="inlineStr">
        <is>
          <t>LLM Code Analysis</t>
        </is>
      </c>
      <c r="G18" s="68" t="inlineStr">
        <is>
          <t>LLM, prompting strategy, systematic evaluation, false positive, prompt design</t>
        </is>
      </c>
      <c r="H18" s="64" t="inlineStr">
        <is>
          <t>Unread</t>
        </is>
      </c>
      <c r="I18" s="68" t="inlineStr">
        <is>
          <t>Systematic LLM evaluation with prompting strategy analysis — informs LLM Verifier prompt design in Path A</t>
        </is>
      </c>
      <c r="J18" s="70" t="inlineStr">
        <is>
          <t>https://arxiv.org/abs/2311.16169</t>
        </is>
      </c>
      <c r="K18" s="71" t="inlineStr">
        <is>
          <t>Write your notes here…</t>
        </is>
      </c>
    </row>
    <row r="19" ht="60" customHeight="1">
      <c r="A19" s="61" t="n">
        <v>15</v>
      </c>
      <c r="B19" s="62" t="inlineStr">
        <is>
          <t>Large Language Models for Source Code Analysis: Applications, Models and Datasets</t>
        </is>
      </c>
      <c r="C19" s="62" t="inlineStr">
        <is>
          <t>Sharma et al.</t>
        </is>
      </c>
      <c r="D19" s="63" t="inlineStr">
        <is>
          <t>2025</t>
        </is>
      </c>
      <c r="E19" s="62" t="inlineStr">
        <is>
          <t>arXiv</t>
        </is>
      </c>
      <c r="F19" s="62" t="inlineStr">
        <is>
          <t>LLM Code Analysis</t>
        </is>
      </c>
      <c r="G19" s="62" t="inlineStr">
        <is>
          <t>survey, LLM architectures, code analysis, model selection, datasets</t>
        </is>
      </c>
      <c r="H19" s="64" t="inlineStr">
        <is>
          <t>Unread</t>
        </is>
      </c>
      <c r="I19" s="62" t="inlineStr">
        <is>
          <t>Survey of LLM architectures for code analysis — model selection reference for LLM components</t>
        </is>
      </c>
      <c r="J19" s="65" t="inlineStr">
        <is>
          <t>https://arxiv.org/abs/2503.17502</t>
        </is>
      </c>
      <c r="K19" s="66" t="inlineStr">
        <is>
          <t>Write your notes here…</t>
        </is>
      </c>
    </row>
    <row r="20" ht="60" customHeight="1">
      <c r="A20" s="67" t="n">
        <v>16</v>
      </c>
      <c r="B20" s="68" t="inlineStr">
        <is>
          <t>Can Large Language Models Find And Fix Vulnerable Software?</t>
        </is>
      </c>
      <c r="C20" s="68" t="inlineStr">
        <is>
          <t>Pearce et al.</t>
        </is>
      </c>
      <c r="D20" s="69" t="inlineStr">
        <is>
          <t>2023</t>
        </is>
      </c>
      <c r="E20" s="68" t="inlineStr">
        <is>
          <t>arXiv</t>
        </is>
      </c>
      <c r="F20" s="68" t="inlineStr">
        <is>
          <t>LLM Code Analysis</t>
        </is>
      </c>
      <c r="G20" s="68" t="inlineStr">
        <is>
          <t>LLM, detection, repair, empirical evaluation, fix generation</t>
        </is>
      </c>
      <c r="H20" s="64" t="inlineStr">
        <is>
          <t>Unread</t>
        </is>
      </c>
      <c r="I20" s="68" t="inlineStr">
        <is>
          <t>Empirical evaluation of LLM detection + repair — validates dual-role LLM use in Approaches 2 and 3</t>
        </is>
      </c>
      <c r="J20" s="70" t="inlineStr">
        <is>
          <t>https://arxiv.org/abs/2308.10345</t>
        </is>
      </c>
      <c r="K20" s="71" t="inlineStr">
        <is>
          <t>Write your notes here…</t>
        </is>
      </c>
    </row>
    <row r="21" ht="60" customHeight="1">
      <c r="A21" s="61" t="n">
        <v>17</v>
      </c>
      <c r="B21" s="62" t="inlineStr">
        <is>
          <t>LLM-Driven SAST-Genius: A Hybrid Static Analysis Framework for Comprehensive and Actionable Security</t>
        </is>
      </c>
      <c r="C21" s="62" t="inlineStr">
        <is>
          <t>Multiple authors</t>
        </is>
      </c>
      <c r="D21" s="63" t="inlineStr">
        <is>
          <t>2024</t>
        </is>
      </c>
      <c r="E21" s="62" t="inlineStr">
        <is>
          <t>arXiv</t>
        </is>
      </c>
      <c r="F21" s="62" t="inlineStr">
        <is>
          <t>Hybrid SAST+LLM</t>
        </is>
      </c>
      <c r="G21" s="62" t="inlineStr">
        <is>
          <t>hybrid, SAST+LLM, false positive, 91% FP reduction, Semgrep, key paper</t>
        </is>
      </c>
      <c r="H21" s="64" t="inlineStr">
        <is>
          <t>Unread</t>
        </is>
      </c>
      <c r="I21" s="62" t="inlineStr">
        <is>
          <t>Hybrid SAST+LLM reducing FP by 91% (225→20 alerts) vs Semgrep alone — strongest validation of ZeroTrust.sh architecture</t>
        </is>
      </c>
      <c r="J21" s="65" t="inlineStr">
        <is>
          <t>https://arxiv.org/abs/2509.15433</t>
        </is>
      </c>
      <c r="K21" s="66" t="inlineStr">
        <is>
          <t>Write your notes here…</t>
        </is>
      </c>
    </row>
    <row r="22" ht="60" customHeight="1">
      <c r="A22" s="67" t="n">
        <v>18</v>
      </c>
      <c r="B22" s="68" t="inlineStr">
        <is>
          <t>ZeroFalse: Improving Precision in Static Analysis with LLMs</t>
        </is>
      </c>
      <c r="C22" s="68" t="inlineStr">
        <is>
          <t>Scanlon et al.</t>
        </is>
      </c>
      <c r="D22" s="69" t="inlineStr">
        <is>
          <t>2024</t>
        </is>
      </c>
      <c r="E22" s="68" t="inlineStr">
        <is>
          <t>arXiv</t>
        </is>
      </c>
      <c r="F22" s="68" t="inlineStr">
        <is>
          <t>Hybrid SAST+LLM</t>
        </is>
      </c>
      <c r="G22" s="68" t="inlineStr">
        <is>
          <t>LLM, false positive reduction, static analysis, precision, ZeroFalse</t>
        </is>
      </c>
      <c r="H22" s="64" t="inlineStr">
        <is>
          <t>Unread</t>
        </is>
      </c>
      <c r="I22" s="68" t="inlineStr">
        <is>
          <t>LLM false positive reduction in static analysis — validates LLM Verifier design in Path A</t>
        </is>
      </c>
      <c r="J22" s="70" t="inlineStr">
        <is>
          <t>https://arxiv.org/abs/2510.02534</t>
        </is>
      </c>
      <c r="K22" s="71" t="inlineStr">
        <is>
          <t>Write your notes here…</t>
        </is>
      </c>
    </row>
    <row r="23" ht="60" customHeight="1">
      <c r="A23" s="61" t="n">
        <v>19</v>
      </c>
      <c r="B23" s="62" t="inlineStr">
        <is>
          <t>Combining Large Language Models with Static Analyzers for Code Review Generation</t>
        </is>
      </c>
      <c r="C23" s="62" t="inlineStr">
        <is>
          <t>Jaoua et al.</t>
        </is>
      </c>
      <c r="D23" s="63" t="inlineStr">
        <is>
          <t>2025</t>
        </is>
      </c>
      <c r="E23" s="62" t="inlineStr">
        <is>
          <t>arXiv</t>
        </is>
      </c>
      <c r="F23" s="62" t="inlineStr">
        <is>
          <t>Hybrid SAST+LLM</t>
        </is>
      </c>
      <c r="G23" s="62" t="inlineStr">
        <is>
          <t>LLM, static analysis, code review, patch suggestion, output format</t>
        </is>
      </c>
      <c r="H23" s="64" t="inlineStr">
        <is>
          <t>Unread</t>
        </is>
      </c>
      <c r="I23" s="62" t="inlineStr">
        <is>
          <t>LLM + static analysis for code review — informs patch suggestion output format</t>
        </is>
      </c>
      <c r="J23" s="65" t="inlineStr">
        <is>
          <t>https://arxiv.org/abs/2502.06633</t>
        </is>
      </c>
      <c r="K23" s="66" t="inlineStr">
        <is>
          <t>Write your notes here…</t>
        </is>
      </c>
    </row>
    <row r="24" ht="60" customHeight="1">
      <c r="A24" s="67" t="n">
        <v>20</v>
      </c>
      <c r="B24" s="68" t="inlineStr">
        <is>
          <t>A Contemporary Survey of LLM-Assisted Program Analysis</t>
        </is>
      </c>
      <c r="C24" s="68" t="inlineStr">
        <is>
          <t>Survey authors</t>
        </is>
      </c>
      <c r="D24" s="69" t="inlineStr">
        <is>
          <t>2025</t>
        </is>
      </c>
      <c r="E24" s="68" t="inlineStr">
        <is>
          <t>arXiv</t>
        </is>
      </c>
      <c r="F24" s="68" t="inlineStr">
        <is>
          <t>Hybrid SAST+LLM</t>
        </is>
      </c>
      <c r="G24" s="68" t="inlineStr">
        <is>
          <t>survey, program analysis, LLM, comprehensive, all approaches reference</t>
        </is>
      </c>
      <c r="H24" s="64" t="inlineStr">
        <is>
          <t>Unread</t>
        </is>
      </c>
      <c r="I24" s="68" t="inlineStr">
        <is>
          <t>Comprehensive survey of LLM program analysis techniques — architecture reference for all three approaches</t>
        </is>
      </c>
      <c r="J24" s="70" t="inlineStr">
        <is>
          <t>https://arxiv.org/abs/2502.18474</t>
        </is>
      </c>
      <c r="K24" s="71" t="inlineStr">
        <is>
          <t>Write your notes here…</t>
        </is>
      </c>
    </row>
    <row r="25" ht="60" customHeight="1">
      <c r="A25" s="61" t="n">
        <v>21</v>
      </c>
      <c r="B25" s="62" t="inlineStr">
        <is>
          <t>RepoAudit: An Autonomous LLM-Agent for Repository-Level Code Auditing</t>
        </is>
      </c>
      <c r="C25" s="62" t="inlineStr">
        <is>
          <t>Li et al.</t>
        </is>
      </c>
      <c r="D25" s="63" t="inlineStr">
        <is>
          <t>2025</t>
        </is>
      </c>
      <c r="E25" s="62" t="inlineStr">
        <is>
          <t>arXiv</t>
        </is>
      </c>
      <c r="F25" s="62" t="inlineStr">
        <is>
          <t>Hybrid SAST+LLM</t>
        </is>
      </c>
      <c r="G25" s="62" t="inlineStr">
        <is>
          <t>LLM agent, repository-level, multi-agent, orchestration, Approach 3</t>
        </is>
      </c>
      <c r="H25" s="64" t="inlineStr">
        <is>
          <t>Unread</t>
        </is>
      </c>
      <c r="I25" s="62" t="inlineStr">
        <is>
          <t>LLM-agent for repo-level auditing — informs Approach 3 multi-agent orchestration design</t>
        </is>
      </c>
      <c r="J25" s="65" t="inlineStr">
        <is>
          <t>https://arxiv.org/abs/2501.18160</t>
        </is>
      </c>
      <c r="K25" s="66" t="inlineStr">
        <is>
          <t>Write your notes here…</t>
        </is>
      </c>
    </row>
    <row r="26" ht="60" customHeight="1">
      <c r="A26" s="67" t="n">
        <v>22</v>
      </c>
      <c r="B26" s="68" t="inlineStr">
        <is>
          <t>Security Vulnerabilities in AI-Generated Code: A Large-Scale Analysis of Public GitHub Repositories</t>
        </is>
      </c>
      <c r="C26" s="68" t="inlineStr">
        <is>
          <t>Zhao et al.</t>
        </is>
      </c>
      <c r="D26" s="69" t="inlineStr">
        <is>
          <t>2024</t>
        </is>
      </c>
      <c r="E26" s="68" t="inlineStr">
        <is>
          <t>IEEE/ACM</t>
        </is>
      </c>
      <c r="F26" s="68" t="inlineStr">
        <is>
          <t>AI-Generated Code Security</t>
        </is>
      </c>
      <c r="G26" s="68" t="inlineStr">
        <is>
          <t>AI-generated code, CWE, GitHub, empirical, 4241 instances, market validation</t>
        </is>
      </c>
      <c r="H26" s="64" t="inlineStr">
        <is>
          <t>Unread</t>
        </is>
      </c>
      <c r="I26" s="68" t="inlineStr">
        <is>
          <t>4,241 CWE instances across AI-generated code from 4 tools — empirical validation of the core ZeroTrust.sh problem statement</t>
        </is>
      </c>
      <c r="J26" s="70" t="inlineStr">
        <is>
          <t>https://arxiv.org/abs/2510.26103</t>
        </is>
      </c>
      <c r="K26" s="71" t="inlineStr">
        <is>
          <t>Write your notes here…</t>
        </is>
      </c>
    </row>
    <row r="27" ht="60" customHeight="1">
      <c r="A27" s="61" t="n">
        <v>23</v>
      </c>
      <c r="B27" s="62" t="inlineStr">
        <is>
          <t>Prompt Injection Attacks on Agentic Coding Assistants: A Systematic Analysis</t>
        </is>
      </c>
      <c r="C27" s="62" t="inlineStr">
        <is>
          <t>Yang et al.</t>
        </is>
      </c>
      <c r="D27" s="63" t="inlineStr">
        <is>
          <t>2026</t>
        </is>
      </c>
      <c r="E27" s="62" t="inlineStr">
        <is>
          <t>arXiv</t>
        </is>
      </c>
      <c r="F27" s="62" t="inlineStr">
        <is>
          <t>AI Agent Security</t>
        </is>
      </c>
      <c r="G27" s="62" t="inlineStr">
        <is>
          <t>prompt injection, agentic, coding assistant, attack, 85% success rate</t>
        </is>
      </c>
      <c r="H27" s="64" t="inlineStr">
        <is>
          <t>Unread</t>
        </is>
      </c>
      <c r="I27" s="62" t="inlineStr">
        <is>
          <t>85%+ attack success rates for prompt injection in agentic assistants — validates ZeroTrust.sh AI-specific threat detection</t>
        </is>
      </c>
      <c r="J27" s="65" t="inlineStr">
        <is>
          <t>https://arxiv.org/abs/2601.17548</t>
        </is>
      </c>
      <c r="K27" s="66" t="inlineStr">
        <is>
          <t>Write your notes here…</t>
        </is>
      </c>
    </row>
    <row r="28" ht="60" customHeight="1">
      <c r="A28" s="67" t="n">
        <v>24</v>
      </c>
      <c r="B28" s="68" t="inlineStr">
        <is>
          <t>Security Degradation in Iterative AI Code Generation: A Systematic Analysis of the Paradox</t>
        </is>
      </c>
      <c r="C28" s="68" t="inlineStr">
        <is>
          <t>Multiple authors</t>
        </is>
      </c>
      <c r="D28" s="69" t="inlineStr">
        <is>
          <t>2025</t>
        </is>
      </c>
      <c r="E28" s="68" t="inlineStr">
        <is>
          <t>IEEE-ISTAS</t>
        </is>
      </c>
      <c r="F28" s="68" t="inlineStr">
        <is>
          <t>AI-Generated Code Security</t>
        </is>
      </c>
      <c r="G28" s="68" t="inlineStr">
        <is>
          <t>iterative generation, vibe-coding, security degradation, LLM, threat model</t>
        </is>
      </c>
      <c r="H28" s="64" t="inlineStr">
        <is>
          <t>Unread</t>
        </is>
      </c>
      <c r="I28" s="68" t="inlineStr">
        <is>
          <t>Iterative LLM interactions without human review introduce new vulnerabilities — validates vibe-coding threat model</t>
        </is>
      </c>
      <c r="J28" s="70" t="inlineStr">
        <is>
          <t>https://arxiv.org/abs/2506.11022</t>
        </is>
      </c>
      <c r="K28" s="71" t="inlineStr">
        <is>
          <t>Write your notes here…</t>
        </is>
      </c>
    </row>
    <row r="29" ht="60" customHeight="1">
      <c r="A29" s="61" t="n">
        <v>25</v>
      </c>
      <c r="B29" s="62" t="inlineStr">
        <is>
          <t>Assessing the Quality and Security of AI-Generated Code: A Quantitative Analysis</t>
        </is>
      </c>
      <c r="C29" s="62" t="inlineStr">
        <is>
          <t>Multiple authors</t>
        </is>
      </c>
      <c r="D29" s="63" t="inlineStr">
        <is>
          <t>2024</t>
        </is>
      </c>
      <c r="E29" s="62" t="inlineStr">
        <is>
          <t>arXiv</t>
        </is>
      </c>
      <c r="F29" s="62" t="inlineStr">
        <is>
          <t>AI-Generated Code Security</t>
        </is>
      </c>
      <c r="G29" s="62" t="inlineStr">
        <is>
          <t>AI-generated code, quantitative, security assessment, quality metrics</t>
        </is>
      </c>
      <c r="H29" s="64" t="inlineStr">
        <is>
          <t>Unread</t>
        </is>
      </c>
      <c r="I29" s="62" t="inlineStr">
        <is>
          <t>Quantitative security analysis of AI-generated code — market validation and threat taxonomy reference</t>
        </is>
      </c>
      <c r="J29" s="65" t="inlineStr">
        <is>
          <t>https://arxiv.org/abs/2508.14727</t>
        </is>
      </c>
      <c r="K29" s="66" t="inlineStr">
        <is>
          <t>Write your notes here…</t>
        </is>
      </c>
    </row>
    <row r="30" ht="60" customHeight="1">
      <c r="A30" s="67" t="n">
        <v>26</v>
      </c>
      <c r="B30" s="68" t="inlineStr">
        <is>
          <t>You Still Have to Study: On the Security of LLM Generated Code</t>
        </is>
      </c>
      <c r="C30" s="68" t="inlineStr">
        <is>
          <t>Ferrara et al.</t>
        </is>
      </c>
      <c r="D30" s="69" t="inlineStr">
        <is>
          <t>2024</t>
        </is>
      </c>
      <c r="E30" s="68" t="inlineStr">
        <is>
          <t>arXiv</t>
        </is>
      </c>
      <c r="F30" s="68" t="inlineStr">
        <is>
          <t>AI-Generated Code Security</t>
        </is>
      </c>
      <c r="G30" s="68" t="inlineStr">
        <is>
          <t>Copilot, CWE, 36-40% vulnerability rate, LLM-generated code, pitch statistic</t>
        </is>
      </c>
      <c r="H30" s="64" t="inlineStr">
        <is>
          <t>Unread</t>
        </is>
      </c>
      <c r="I30" s="68" t="inlineStr">
        <is>
          <t>36–40% of Copilot code contains CWE vulnerabilities — key statistic for product positioning and pitch</t>
        </is>
      </c>
      <c r="J30" s="70" t="inlineStr">
        <is>
          <t>https://arxiv.org/abs/2408.07106</t>
        </is>
      </c>
      <c r="K30" s="71" t="inlineStr">
        <is>
          <t>Write your notes here…</t>
        </is>
      </c>
    </row>
    <row r="31" ht="60" customHeight="1">
      <c r="A31" s="61" t="n">
        <v>27</v>
      </c>
      <c r="B31" s="62" t="inlineStr">
        <is>
          <t>FrugalGPT: How to Use Large Language Models While Reducing Cost and Improving Performance</t>
        </is>
      </c>
      <c r="C31" s="62" t="inlineStr">
        <is>
          <t>Eisingerich et al.</t>
        </is>
      </c>
      <c r="D31" s="63" t="inlineStr">
        <is>
          <t>2023</t>
        </is>
      </c>
      <c r="E31" s="62" t="inlineStr">
        <is>
          <t>arXiv</t>
        </is>
      </c>
      <c r="F31" s="62" t="inlineStr">
        <is>
          <t>Token Cost Optimization</t>
        </is>
      </c>
      <c r="G31" s="62" t="inlineStr">
        <is>
          <t>cascade routing, cost optimization, 98% savings, LLM pipeline, FrugalGPT</t>
        </is>
      </c>
      <c r="H31" s="64" t="inlineStr">
        <is>
          <t>Unread</t>
        </is>
      </c>
      <c r="I31" s="62" t="inlineStr">
        <is>
          <t>Cascade routing achieving 98% cost savings — theoretical foundation for Cascading Intelligence architecture</t>
        </is>
      </c>
      <c r="J31" s="65" t="inlineStr">
        <is>
          <t>https://arxiv.org/abs/2305.05176</t>
        </is>
      </c>
      <c r="K31" s="66" t="inlineStr">
        <is>
          <t>Write your notes here…</t>
        </is>
      </c>
    </row>
    <row r="32" ht="60" customHeight="1">
      <c r="A32" s="67" t="n">
        <v>28</v>
      </c>
      <c r="B32" s="68" t="inlineStr">
        <is>
          <t>Batch Prompting: Efficient Inference with Large Language Model APIs</t>
        </is>
      </c>
      <c r="C32" s="68" t="inlineStr">
        <is>
          <t>Rajkumar et al.</t>
        </is>
      </c>
      <c r="D32" s="69" t="inlineStr">
        <is>
          <t>2023</t>
        </is>
      </c>
      <c r="E32" s="68" t="inlineStr">
        <is>
          <t>arXiv</t>
        </is>
      </c>
      <c r="F32" s="68" t="inlineStr">
        <is>
          <t>Token Cost Optimization</t>
        </is>
      </c>
      <c r="G32" s="68" t="inlineStr">
        <is>
          <t>batch processing, token cost, 5x reduction, inference efficiency</t>
        </is>
      </c>
      <c r="H32" s="64" t="inlineStr">
        <is>
          <t>Unread</t>
        </is>
      </c>
      <c r="I32" s="68" t="inlineStr">
        <is>
          <t>Batch processing reducing LLM token costs up to 5x — informs Token Budget Controller batching strategy</t>
        </is>
      </c>
      <c r="J32" s="70" t="inlineStr">
        <is>
          <t>https://arxiv.org/abs/2301.08721</t>
        </is>
      </c>
      <c r="K32" s="71" t="inlineStr">
        <is>
          <t>Write your notes here…</t>
        </is>
      </c>
    </row>
    <row r="33" ht="60" customHeight="1">
      <c r="A33" s="61" t="n">
        <v>29</v>
      </c>
      <c r="B33" s="62" t="inlineStr">
        <is>
          <t>Token Sugar: Making Source Code Sweeter for LLMs through Token-Efficient Shorthand</t>
        </is>
      </c>
      <c r="C33" s="62" t="inlineStr">
        <is>
          <t>Multiple authors</t>
        </is>
      </c>
      <c r="D33" s="63" t="inlineStr">
        <is>
          <t>2025</t>
        </is>
      </c>
      <c r="E33" s="62" t="inlineStr">
        <is>
          <t>arXiv</t>
        </is>
      </c>
      <c r="F33" s="62" t="inlineStr">
        <is>
          <t>Token Cost Optimization</t>
        </is>
      </c>
      <c r="G33" s="62" t="inlineStr">
        <is>
          <t>token optimization, code representation, shorthand, context compression</t>
        </is>
      </c>
      <c r="H33" s="64" t="inlineStr">
        <is>
          <t>Unread</t>
        </is>
      </c>
      <c r="I33" s="62" t="inlineStr">
        <is>
          <t>Token optimization for code representation — informs context chunking in Token Budget Controller</t>
        </is>
      </c>
      <c r="J33" s="65" t="inlineStr">
        <is>
          <t>https://arxiv.org/abs/2512.08266</t>
        </is>
      </c>
      <c r="K33" s="66" t="inlineStr">
        <is>
          <t>Write your notes here…</t>
        </is>
      </c>
    </row>
    <row r="34" ht="60" customHeight="1">
      <c r="A34" s="67" t="n">
        <v>30</v>
      </c>
      <c r="B34" s="68" t="inlineStr">
        <is>
          <t>Learning to Focus: Context Extraction for Efficient Code Vulnerability Detection with Language Models</t>
        </is>
      </c>
      <c r="C34" s="68" t="inlineStr">
        <is>
          <t>Dittmann et al.</t>
        </is>
      </c>
      <c r="D34" s="69" t="inlineStr">
        <is>
          <t>2025</t>
        </is>
      </c>
      <c r="E34" s="68" t="inlineStr">
        <is>
          <t>arXiv</t>
        </is>
      </c>
      <c r="F34" s="68" t="inlineStr">
        <is>
          <t>Token Cost Optimization</t>
        </is>
      </c>
      <c r="G34" s="68" t="inlineStr">
        <is>
          <t>context filtering, token budget, vulnerability detection, efficiency, focus extraction</t>
        </is>
      </c>
      <c r="H34" s="64" t="inlineStr">
        <is>
          <t>Unread</t>
        </is>
      </c>
      <c r="I34" s="68" t="inlineStr">
        <is>
          <t>Context filtering for reducing LLM token consumption in vulnerability detection — directly validates Token Budget Controller</t>
        </is>
      </c>
      <c r="J34" s="70" t="inlineStr">
        <is>
          <t>https://arxiv.org/abs/2505.17460</t>
        </is>
      </c>
      <c r="K34" s="71" t="inlineStr">
        <is>
          <t>Write your notes here…</t>
        </is>
      </c>
    </row>
    <row r="35" ht="60" customHeight="1">
      <c r="A35" s="61" t="n">
        <v>31</v>
      </c>
      <c r="B35" s="62" t="inlineStr">
        <is>
          <t>Vulnerability Detection with Interprocedural Context in Multiple Languages: Assessing Effectiveness and Cost</t>
        </is>
      </c>
      <c r="C35" s="62" t="inlineStr">
        <is>
          <t>Gharibi et al.</t>
        </is>
      </c>
      <c r="D35" s="63" t="inlineStr">
        <is>
          <t>2024</t>
        </is>
      </c>
      <c r="E35" s="62" t="inlineStr">
        <is>
          <t>arXiv</t>
        </is>
      </c>
      <c r="F35" s="62" t="inlineStr">
        <is>
          <t>Call Graph &amp; Taint Analysis</t>
        </is>
      </c>
      <c r="G35" s="62" t="inlineStr">
        <is>
          <t>interprocedural, multi-language, call graph, LLM detection, effectiveness</t>
        </is>
      </c>
      <c r="H35" s="64" t="inlineStr">
        <is>
          <t>Unread</t>
        </is>
      </c>
      <c r="I35" s="62" t="inlineStr">
        <is>
          <t>Interprocedural analysis impact on LLM detection across languages — validates Call Graph + CVE Enrichment in Path B</t>
        </is>
      </c>
      <c r="J35" s="65" t="inlineStr">
        <is>
          <t>https://arxiv.org/abs/2604.08417</t>
        </is>
      </c>
      <c r="K35" s="66" t="inlineStr">
        <is>
          <t>Write your notes here…</t>
        </is>
      </c>
    </row>
    <row r="36" ht="60" customHeight="1">
      <c r="A36" s="67" t="n">
        <v>32</v>
      </c>
      <c r="B36" s="68" t="inlineStr">
        <is>
          <t>Multi-Agent Taint Specification Extraction for Vulnerability Detection</t>
        </is>
      </c>
      <c r="C36" s="68" t="inlineStr">
        <is>
          <t>Zhang et al.</t>
        </is>
      </c>
      <c r="D36" s="69" t="inlineStr">
        <is>
          <t>2026</t>
        </is>
      </c>
      <c r="E36" s="68" t="inlineStr">
        <is>
          <t>arXiv</t>
        </is>
      </c>
      <c r="F36" s="68" t="inlineStr">
        <is>
          <t>Call Graph &amp; Taint Analysis</t>
        </is>
      </c>
      <c r="G36" s="68" t="inlineStr">
        <is>
          <t>taint analysis, multi-agent, CodeQL, LLM, Approach 3</t>
        </is>
      </c>
      <c r="H36" s="64" t="inlineStr">
        <is>
          <t>Unread</t>
        </is>
      </c>
      <c r="I36" s="68" t="inlineStr">
        <is>
          <t>Multi-agent LLM + taint analysis — informs Approach 3 multi-agent architecture with CodeQL/Joern integration</t>
        </is>
      </c>
      <c r="J36" s="70" t="inlineStr">
        <is>
          <t>https://arxiv.org/abs/2601.10865</t>
        </is>
      </c>
      <c r="K36" s="71" t="inlineStr">
        <is>
          <t>Write your notes here…</t>
        </is>
      </c>
    </row>
    <row r="37" ht="60" customHeight="1">
      <c r="A37" s="61" t="n">
        <v>33</v>
      </c>
      <c r="B37" s="62" t="inlineStr">
        <is>
          <t>LLMxCPG: Context-Aware Vulnerability Detection Through Code Property Graph-Guided LLMs</t>
        </is>
      </c>
      <c r="C37" s="62" t="inlineStr">
        <is>
          <t>Pan et al.</t>
        </is>
      </c>
      <c r="D37" s="63" t="inlineStr">
        <is>
          <t>2024</t>
        </is>
      </c>
      <c r="E37" s="62" t="inlineStr">
        <is>
          <t>arXiv</t>
        </is>
      </c>
      <c r="F37" s="62" t="inlineStr">
        <is>
          <t>Call Graph &amp; Taint Analysis</t>
        </is>
      </c>
      <c r="G37" s="62" t="inlineStr">
        <is>
          <t>CPG, code property graph, context-aware, LLM, Path B integration</t>
        </is>
      </c>
      <c r="H37" s="64" t="inlineStr">
        <is>
          <t>Unread</t>
        </is>
      </c>
      <c r="I37" s="62" t="inlineStr">
        <is>
          <t>CPG-guided LLM for context-aware detection — informs CPG integration in Path B call graph analysis</t>
        </is>
      </c>
      <c r="J37" s="65" t="inlineStr">
        <is>
          <t>https://arxiv.org/abs/2507.16585</t>
        </is>
      </c>
      <c r="K37" s="66" t="inlineStr">
        <is>
          <t>Write your notes here…</t>
        </is>
      </c>
    </row>
    <row r="38" ht="60" customHeight="1">
      <c r="A38" s="67" t="n">
        <v>34</v>
      </c>
      <c r="B38" s="68" t="inlineStr">
        <is>
          <t>Bridging Code Property Graphs and Language Models for Program Analysis</t>
        </is>
      </c>
      <c r="C38" s="68" t="inlineStr">
        <is>
          <t>Mahfouz et al.</t>
        </is>
      </c>
      <c r="D38" s="69" t="inlineStr">
        <is>
          <t>2026</t>
        </is>
      </c>
      <c r="E38" s="68" t="inlineStr">
        <is>
          <t>arXiv</t>
        </is>
      </c>
      <c r="F38" s="68" t="inlineStr">
        <is>
          <t>Call Graph &amp; Taint Analysis</t>
        </is>
      </c>
      <c r="G38" s="68" t="inlineStr">
        <is>
          <t>CPG, LLM, program analysis, hybrid CPG+LLM, framework</t>
        </is>
      </c>
      <c r="H38" s="64" t="inlineStr">
        <is>
          <t>Unread</t>
        </is>
      </c>
      <c r="I38" s="68" t="inlineStr">
        <is>
          <t>Framework bridging CPG and LLMs — validates hybrid CPG+LLM design in Path B</t>
        </is>
      </c>
      <c r="J38" s="70" t="inlineStr">
        <is>
          <t>https://arxiv.org/abs/2603.24837</t>
        </is>
      </c>
      <c r="K38" s="71" t="inlineStr">
        <is>
          <t>Write your notes here…</t>
        </is>
      </c>
    </row>
    <row r="39" ht="60" customHeight="1">
      <c r="A39" s="61" t="n">
        <v>35</v>
      </c>
      <c r="B39" s="62" t="inlineStr">
        <is>
          <t>Enhancing Software Vulnerability Detection Using Code Property Graphs and Convolutional Neural Networks</t>
        </is>
      </c>
      <c r="C39" s="62" t="inlineStr">
        <is>
          <t>Multiple authors</t>
        </is>
      </c>
      <c r="D39" s="63" t="inlineStr">
        <is>
          <t>2025</t>
        </is>
      </c>
      <c r="E39" s="62" t="inlineStr">
        <is>
          <t>arXiv</t>
        </is>
      </c>
      <c r="F39" s="62" t="inlineStr">
        <is>
          <t>Call Graph &amp; Taint Analysis</t>
        </is>
      </c>
      <c r="G39" s="62" t="inlineStr">
        <is>
          <t>CPG, CNN, local structure, global structure, code classifier training</t>
        </is>
      </c>
      <c r="H39" s="64" t="inlineStr">
        <is>
          <t>Unread</t>
        </is>
      </c>
      <c r="I39" s="62" t="inlineStr">
        <is>
          <t>CPG+CNN for local and global code structure — informs Code Classifier training in new architecture</t>
        </is>
      </c>
      <c r="J39" s="65" t="inlineStr">
        <is>
          <t>https://arxiv.org/abs/2503.18175</t>
        </is>
      </c>
      <c r="K39" s="66" t="inlineStr">
        <is>
          <t>Write your notes here…</t>
        </is>
      </c>
    </row>
    <row r="40" ht="60" customHeight="1">
      <c r="A40" s="67" t="n">
        <v>36</v>
      </c>
      <c r="B40" s="68" t="inlineStr">
        <is>
          <t>VulTrLM: LLM-Assisted Vulnerability Detection via AST Decomposition and Comment Enhancement</t>
        </is>
      </c>
      <c r="C40" s="68" t="inlineStr">
        <is>
          <t>Liu et al.</t>
        </is>
      </c>
      <c r="D40" s="69" t="inlineStr">
        <is>
          <t>2025</t>
        </is>
      </c>
      <c r="E40" s="68" t="inlineStr">
        <is>
          <t>Empirical Software Engineering</t>
        </is>
      </c>
      <c r="F40" s="68" t="inlineStr">
        <is>
          <t>Call Graph &amp; Taint Analysis</t>
        </is>
      </c>
      <c r="G40" s="68" t="inlineStr">
        <is>
          <t>LLM, AST decomposition, semantic enhancement, comment, AST preprocessing</t>
        </is>
      </c>
      <c r="H40" s="64" t="inlineStr">
        <is>
          <t>Unread</t>
        </is>
      </c>
      <c r="I40" s="68" t="inlineStr">
        <is>
          <t>LLM-assisted AST decomposition for semantic enhancement — informs AST preprocessing in Path B Tier 1</t>
        </is>
      </c>
      <c r="J40" s="70" t="inlineStr">
        <is>
          <t>https://dl.acm.org/doi/10.1007/s10664-025-10738-7</t>
        </is>
      </c>
      <c r="K40" s="71" t="inlineStr">
        <is>
          <t>Write your notes here…</t>
        </is>
      </c>
    </row>
    <row r="41" ht="60" customHeight="1">
      <c r="A41" s="61" t="n">
        <v>37</v>
      </c>
      <c r="B41" s="62" t="inlineStr">
        <is>
          <t>Dataflow Analysis-Inspired Deep Learning for Efficient Vulnerability Detection</t>
        </is>
      </c>
      <c r="C41" s="62" t="inlineStr">
        <is>
          <t>Cheng et al.</t>
        </is>
      </c>
      <c r="D41" s="63" t="inlineStr">
        <is>
          <t>2022</t>
        </is>
      </c>
      <c r="E41" s="62" t="inlineStr">
        <is>
          <t>arXiv</t>
        </is>
      </c>
      <c r="F41" s="62" t="inlineStr">
        <is>
          <t>Call Graph &amp; Taint Analysis</t>
        </is>
      </c>
      <c r="G41" s="62" t="inlineStr">
        <is>
          <t>dataflow analysis, deep learning, CodeQL integration, Path A validation</t>
        </is>
      </c>
      <c r="H41" s="64" t="inlineStr">
        <is>
          <t>Unread</t>
        </is>
      </c>
      <c r="I41" s="62" t="inlineStr">
        <is>
          <t>Dataflow analysis-inspired DL approach — validates dataflow integration in Path A CodeQL/Joern</t>
        </is>
      </c>
      <c r="J41" s="65" t="inlineStr">
        <is>
          <t>https://arxiv.org/abs/2212.08108</t>
        </is>
      </c>
      <c r="K41" s="66" t="inlineStr">
        <is>
          <t>Write your notes here…</t>
        </is>
      </c>
    </row>
    <row r="42" ht="60" customHeight="1">
      <c r="A42" s="67" t="n">
        <v>38</v>
      </c>
      <c r="B42" s="68" t="inlineStr">
        <is>
          <t>Reducing False Positives in Static Bug Detection with LLMs: An Empirical Study in Industry</t>
        </is>
      </c>
      <c r="C42" s="68" t="inlineStr">
        <is>
          <t>Dittmann et al.</t>
        </is>
      </c>
      <c r="D42" s="69" t="inlineStr">
        <is>
          <t>2026</t>
        </is>
      </c>
      <c r="E42" s="68" t="inlineStr">
        <is>
          <t>arXiv</t>
        </is>
      </c>
      <c r="F42" s="68" t="inlineStr">
        <is>
          <t>Hybrid SAST+LLM</t>
        </is>
      </c>
      <c r="G42" s="68" t="inlineStr">
        <is>
          <t>false positive, LLM, industrial study, production scale, empirical</t>
        </is>
      </c>
      <c r="H42" s="64" t="inlineStr">
        <is>
          <t>Unread</t>
        </is>
      </c>
      <c r="I42" s="68" t="inlineStr">
        <is>
          <t>Industrial study on LLM false positive reduction — validates LLM Verifier design in Path A at production scale</t>
        </is>
      </c>
      <c r="J42" s="70" t="inlineStr">
        <is>
          <t>https://arxiv.org/abs/2601.18844</t>
        </is>
      </c>
      <c r="K42" s="71" t="inlineStr">
        <is>
          <t>Write your notes here…</t>
        </is>
      </c>
    </row>
    <row r="43" ht="60" customHeight="1">
      <c r="A43" s="61" t="n">
        <v>39</v>
      </c>
      <c r="B43" s="62" t="inlineStr">
        <is>
          <t>LSAST: Enhancing Cybersecurity through LLM-supported Static Application Security Testing</t>
        </is>
      </c>
      <c r="C43" s="62" t="inlineStr">
        <is>
          <t>Multiple authors</t>
        </is>
      </c>
      <c r="D43" s="63" t="inlineStr">
        <is>
          <t>2024</t>
        </is>
      </c>
      <c r="E43" s="62" t="inlineStr">
        <is>
          <t>arXiv</t>
        </is>
      </c>
      <c r="F43" s="62" t="inlineStr">
        <is>
          <t>Local LLM Deployment</t>
        </is>
      </c>
      <c r="G43" s="62" t="inlineStr">
        <is>
          <t>local LLM, privacy-first, offline, SAST, no cloud API, on-device</t>
        </is>
      </c>
      <c r="H43" s="64" t="inlineStr">
        <is>
          <t>Unread</t>
        </is>
      </c>
      <c r="I43" s="62" t="inlineStr">
        <is>
          <t>Locally-hostable LLM for SAST without cloud APIs — validates privacy-first local LLM deployment approach</t>
        </is>
      </c>
      <c r="J43" s="65" t="inlineStr">
        <is>
          <t>https://arxiv.org/abs/2409.15735</t>
        </is>
      </c>
      <c r="K43" s="66" t="inlineStr">
        <is>
          <t>Write your notes here…</t>
        </is>
      </c>
    </row>
    <row r="44" ht="60" customHeight="1">
      <c r="A44" s="67" t="n">
        <v>40</v>
      </c>
      <c r="B44" s="68" t="inlineStr">
        <is>
          <t>Software Vulnerability Analysis Across Programming Language and Program Representation Landscapes: A Survey</t>
        </is>
      </c>
      <c r="C44" s="68" t="inlineStr">
        <is>
          <t>Multiple authors</t>
        </is>
      </c>
      <c r="D44" s="69" t="inlineStr">
        <is>
          <t>2025</t>
        </is>
      </c>
      <c r="E44" s="68" t="inlineStr">
        <is>
          <t>arXiv</t>
        </is>
      </c>
      <c r="F44" s="68" t="inlineStr">
        <is>
          <t>Call Graph &amp; Taint Analysis</t>
        </is>
      </c>
      <c r="G44" s="68" t="inlineStr">
        <is>
          <t>survey, AST, CFG, PDG, CPG, program representation, multi-language</t>
        </is>
      </c>
      <c r="H44" s="64" t="inlineStr">
        <is>
          <t>Unread</t>
        </is>
      </c>
      <c r="I44" s="68" t="inlineStr">
        <is>
          <t>Survey of AST, CFG, PDG, CPG representations — reference for program representation selection across all approaches</t>
        </is>
      </c>
      <c r="J44" s="70" t="inlineStr">
        <is>
          <t>https://arxiv.org/abs/2503.20244</t>
        </is>
      </c>
      <c r="K44" s="71" t="inlineStr">
        <is>
          <t>Write your notes here…</t>
        </is>
      </c>
    </row>
    <row r="45" ht="60" customHeight="1">
      <c r="A45" s="61" t="n">
        <v>41</v>
      </c>
      <c r="B45" s="62" t="inlineStr">
        <is>
          <t>We Have a Package for You! A Comprehensive Analysis of Package Hallucinations by Code Generating LLMs</t>
        </is>
      </c>
      <c r="C45" s="62" t="inlineStr">
        <is>
          <t>Spracklen et al.</t>
        </is>
      </c>
      <c r="D45" s="63" t="inlineStr">
        <is>
          <t>2024</t>
        </is>
      </c>
      <c r="E45" s="62" t="inlineStr">
        <is>
          <t>USENIX Security 2025</t>
        </is>
      </c>
      <c r="F45" s="62" t="inlineStr">
        <is>
          <t>AI Agent Security</t>
        </is>
      </c>
      <c r="G45" s="62" t="inlineStr">
        <is>
          <t>slopsquatting, package hallucination, supply chain, npm, pip, 205474 hallucinations, foundational</t>
        </is>
      </c>
      <c r="H45" s="64" t="inlineStr">
        <is>
          <t>Unread</t>
        </is>
      </c>
      <c r="I45" s="62" t="inlineStr">
        <is>
          <t>Foundational study: 205,474 hallucinated package names across 16 LLMs — commercial at 5.2%, open-source at 21.7%. Baseline threat ZeroTrust.sh must detect.</t>
        </is>
      </c>
      <c r="J45" s="65" t="inlineStr">
        <is>
          <t>https://arxiv.org/abs/2406.10279</t>
        </is>
      </c>
      <c r="K45" s="66" t="inlineStr">
        <is>
          <t>Write your notes here…</t>
        </is>
      </c>
    </row>
    <row r="46" ht="60" customHeight="1">
      <c r="A46" s="67" t="n">
        <v>42</v>
      </c>
      <c r="B46" s="68" t="inlineStr">
        <is>
          <t>Importing Phantoms: Measuring LLM Package Hallucination Vulnerabilities</t>
        </is>
      </c>
      <c r="C46" s="68" t="inlineStr">
        <is>
          <t>Krishna et al.</t>
        </is>
      </c>
      <c r="D46" s="69" t="inlineStr">
        <is>
          <t>2025</t>
        </is>
      </c>
      <c r="E46" s="68" t="inlineStr">
        <is>
          <t>arXiv:2501.19012</t>
        </is>
      </c>
      <c r="F46" s="68" t="inlineStr">
        <is>
          <t>AI Agent Security</t>
        </is>
      </c>
      <c r="G46" s="68" t="inlineStr">
        <is>
          <t>slopsquatting, package hallucination, language comparison, model size, Pareto frontier</t>
        </is>
      </c>
      <c r="H46" s="64" t="inlineStr">
        <is>
          <t>Unread</t>
        </is>
      </c>
      <c r="I46" s="68" t="inlineStr">
        <is>
          <t>Hallucination rates across languages, model sizes, and task specificity — identifies highest-risk agent configurations for slopsquatting detection.</t>
        </is>
      </c>
      <c r="J46" s="70" t="inlineStr">
        <is>
          <t>https://arxiv.org/abs/2501.19012</t>
        </is>
      </c>
      <c r="K46" s="71" t="inlineStr">
        <is>
          <t>Write your notes here…</t>
        </is>
      </c>
    </row>
    <row r="47" ht="60" customHeight="1">
      <c r="A47" s="61" t="n">
        <v>43</v>
      </c>
      <c r="B47" s="62" t="inlineStr">
        <is>
          <t>The Range Shrinks, the Threat Remains: Re-evaluating LLM Package Hallucinations on the 2026 Frontier-Model Cohort</t>
        </is>
      </c>
      <c r="C47" s="62" t="inlineStr">
        <is>
          <t>Multiple authors</t>
        </is>
      </c>
      <c r="D47" s="63" t="inlineStr">
        <is>
          <t>2026</t>
        </is>
      </c>
      <c r="E47" s="62" t="inlineStr">
        <is>
          <t>arXiv:2605.17062</t>
        </is>
      </c>
      <c r="F47" s="62" t="inlineStr">
        <is>
          <t>AI Agent Security</t>
        </is>
      </c>
      <c r="G47" s="62" t="inlineStr">
        <is>
          <t>slopsquatting, frontier models, Claude, GPT-5, 127 common hallucinations, 2026 benchmark</t>
        </is>
      </c>
      <c r="H47" s="64" t="inlineStr">
        <is>
          <t>Unread</t>
        </is>
      </c>
      <c r="I47" s="62" t="inlineStr">
        <is>
          <t>Frontier models (Claude Haiku 4.5 at 4.62%, GPT-5.4-mini at 6.10%) still hallucinate; 127 package names all models invent — rich target set for detection rules.</t>
        </is>
      </c>
      <c r="J47" s="65" t="inlineStr">
        <is>
          <t>https://arxiv.org/abs/2605.17062</t>
        </is>
      </c>
      <c r="K47" s="66" t="inlineStr">
        <is>
          <t>Write your notes here…</t>
        </is>
      </c>
    </row>
    <row r="48" ht="60" customHeight="1">
      <c r="A48" s="67" t="n">
        <v>44</v>
      </c>
      <c r="B48" s="68" t="inlineStr">
        <is>
          <t>PackMonitor: Enabling Zero Package Hallucinations Through Decoding-Time Monitoring</t>
        </is>
      </c>
      <c r="C48" s="68" t="inlineStr">
        <is>
          <t>Liu et al.</t>
        </is>
      </c>
      <c r="D48" s="69" t="inlineStr">
        <is>
          <t>2026</t>
        </is>
      </c>
      <c r="E48" s="68" t="inlineStr">
        <is>
          <t>arXiv:2602.20717</t>
        </is>
      </c>
      <c r="F48" s="68" t="inlineStr">
        <is>
          <t>AI Agent Security</t>
        </is>
      </c>
      <c r="G48" s="68" t="inlineStr">
        <is>
          <t>slopsquatting, decoding-time defense, PyPI, npm, authoritative package list, prevention</t>
        </is>
      </c>
      <c r="H48" s="64" t="inlineStr">
        <is>
          <t>Unread</t>
        </is>
      </c>
      <c r="I48" s="68" t="inlineStr">
        <is>
          <t>Defense via decoding-time intervention constraining generation to authoritative package lists — informs ZeroTrust.sh's detection and verification strategy.</t>
        </is>
      </c>
      <c r="J48" s="70" t="inlineStr">
        <is>
          <t>https://arxiv.org/abs/2602.20717</t>
        </is>
      </c>
      <c r="K48" s="71" t="inlineStr">
        <is>
          <t>Write your notes here…</t>
        </is>
      </c>
    </row>
    <row r="49" ht="60" customHeight="1">
      <c r="A49" s="61" t="n">
        <v>45</v>
      </c>
      <c r="B49" s="62" t="inlineStr">
        <is>
          <t>Secure or Suspect? Investigating Package Hallucinations of Shell Command in Original and Quantized LLMs</t>
        </is>
      </c>
      <c r="C49" s="62" t="inlineStr">
        <is>
          <t>Haque et al.</t>
        </is>
      </c>
      <c r="D49" s="63" t="inlineStr">
        <is>
          <t>2025</t>
        </is>
      </c>
      <c r="E49" s="62" t="inlineStr">
        <is>
          <t>arXiv:2512.08213</t>
        </is>
      </c>
      <c r="F49" s="62" t="inlineStr">
        <is>
          <t>AI Agent Security</t>
        </is>
      </c>
      <c r="G49" s="62" t="inlineStr">
        <is>
          <t>slopsquatting, quantized models, GGUF, shell command, realistic URL mimicry</t>
        </is>
      </c>
      <c r="H49" s="64" t="inlineStr">
        <is>
          <t>Unread</t>
        </is>
      </c>
      <c r="I49" s="62" t="inlineStr">
        <is>
          <t>Quantized models have significantly higher hallucination rates; fabricated packages mimic GitHub/golang.org URLs — relevant for sophisticated slopsquatting detection.</t>
        </is>
      </c>
      <c r="J49" s="65" t="inlineStr">
        <is>
          <t>https://arxiv.org/abs/2512.08213</t>
        </is>
      </c>
      <c r="K49" s="66" t="inlineStr">
        <is>
          <t>Write your notes here…</t>
        </is>
      </c>
    </row>
    <row r="50" ht="60" customHeight="1">
      <c r="A50" s="67" t="n">
        <v>46</v>
      </c>
      <c r="B50" s="68" t="inlineStr">
        <is>
          <t>'Your AI, My Shell': Demystifying Prompt Injection Attacks on Agentic AI Coding Editors</t>
        </is>
      </c>
      <c r="C50" s="68" t="inlineStr">
        <is>
          <t>Liu et al.</t>
        </is>
      </c>
      <c r="D50" s="69" t="inlineStr">
        <is>
          <t>2025</t>
        </is>
      </c>
      <c r="E50" s="68" t="inlineStr">
        <is>
          <t>arXiv:2509.22040</t>
        </is>
      </c>
      <c r="F50" s="68" t="inlineStr">
        <is>
          <t>AI Agent Security</t>
        </is>
      </c>
      <c r="G50" s="68" t="inlineStr">
        <is>
          <t>prompt injection, Cursor, repository poisoning, agentic editor, shell execution hijack</t>
        </is>
      </c>
      <c r="H50" s="64" t="inlineStr">
        <is>
          <t>Unread</t>
        </is>
      </c>
      <c r="I50" s="68" t="inlineStr">
        <is>
          <t>First empirical analysis of Cursor via repository poisoning — attackers inject malicious instructions into dev resources to hijack shell execution. Direct ZeroTrust.sh threat model.</t>
        </is>
      </c>
      <c r="J50" s="70" t="inlineStr">
        <is>
          <t>https://arxiv.org/abs/2509.22040</t>
        </is>
      </c>
      <c r="K50" s="71" t="inlineStr">
        <is>
          <t>Write your notes here…</t>
        </is>
      </c>
    </row>
    <row r="51" ht="60" customHeight="1">
      <c r="A51" s="61" t="n">
        <v>47</v>
      </c>
      <c r="B51" s="62" t="inlineStr">
        <is>
          <t>The Dark Side of LLMs: Agent-based Attacks for Complete Computer Takeover</t>
        </is>
      </c>
      <c r="C51" s="62" t="inlineStr">
        <is>
          <t>Lupinacci et al.</t>
        </is>
      </c>
      <c r="D51" s="63" t="inlineStr">
        <is>
          <t>2025</t>
        </is>
      </c>
      <c r="E51" s="62" t="inlineStr">
        <is>
          <t>arXiv:2507.06850</t>
        </is>
      </c>
      <c r="F51" s="62" t="inlineStr">
        <is>
          <t>AI Agent Security</t>
        </is>
      </c>
      <c r="G51" s="62" t="inlineStr">
        <is>
          <t>privilege escalation, inter-agent trust, 94.4% vulnerable, agent-to-agent attack, safety bypass</t>
        </is>
      </c>
      <c r="H51" s="64" t="inlineStr">
        <is>
          <t>Unread</t>
        </is>
      </c>
      <c r="I51" s="62" t="inlineStr">
        <is>
          <t>94.4% of models vulnerable to direct injection; 83.3% to inter-agent trust exploitation — key data for detecting agent-to-agent attack chains in ZeroTrust.sh.</t>
        </is>
      </c>
      <c r="J51" s="65" t="inlineStr">
        <is>
          <t>https://arxiv.org/abs/2507.06850</t>
        </is>
      </c>
      <c r="K51" s="66" t="inlineStr">
        <is>
          <t>Write your notes here…</t>
        </is>
      </c>
    </row>
    <row r="52" ht="60" customHeight="1">
      <c r="A52" s="67" t="n">
        <v>48</v>
      </c>
      <c r="B52" s="68" t="inlineStr">
        <is>
          <t>VIGIL: Defending LLM Agents Against Tool Stream Injection via Verify-Before-Commit</t>
        </is>
      </c>
      <c r="C52" s="68" t="inlineStr">
        <is>
          <t>Lin et al.</t>
        </is>
      </c>
      <c r="D52" s="69" t="inlineStr">
        <is>
          <t>2026</t>
        </is>
      </c>
      <c r="E52" s="68" t="inlineStr">
        <is>
          <t>arXiv:2601.05755</t>
        </is>
      </c>
      <c r="F52" s="68" t="inlineStr">
        <is>
          <t>AI Agent Security</t>
        </is>
      </c>
      <c r="G52" s="68" t="inlineStr">
        <is>
          <t>tool stream injection, SIREN benchmark, verify-before-commit, runtime poisoning, 959 attack cases</t>
        </is>
      </c>
      <c r="H52" s="64" t="inlineStr">
        <is>
          <t>Unread</t>
        </is>
      </c>
      <c r="I52" s="68" t="inlineStr">
        <is>
          <t>Defense against tool stream injection; SIREN benchmark (959 attack cases) provides test corpus for ZeroTrust.sh detection validation.</t>
        </is>
      </c>
      <c r="J52" s="70" t="inlineStr">
        <is>
          <t>https://arxiv.org/abs/2601.05755</t>
        </is>
      </c>
      <c r="K52" s="71" t="inlineStr">
        <is>
          <t>Write your notes here…</t>
        </is>
      </c>
    </row>
    <row r="53" ht="60" customHeight="1">
      <c r="A53" s="61" t="n">
        <v>49</v>
      </c>
      <c r="B53" s="62" t="inlineStr">
        <is>
          <t>Agentic AI Security: Threats, Defenses, Evaluation, and Open Challenges</t>
        </is>
      </c>
      <c r="C53" s="62" t="inlineStr">
        <is>
          <t>Datta et al.</t>
        </is>
      </c>
      <c r="D53" s="63" t="inlineStr">
        <is>
          <t>2025</t>
        </is>
      </c>
      <c r="E53" s="62" t="inlineStr">
        <is>
          <t>arXiv:2510.23883</t>
        </is>
      </c>
      <c r="F53" s="62" t="inlineStr">
        <is>
          <t>AI Agent Security</t>
        </is>
      </c>
      <c r="G53" s="62" t="inlineStr">
        <is>
          <t>survey, agentic AI, threat taxonomy, tool use, memory, autonomy, planning</t>
        </is>
      </c>
      <c r="H53" s="64" t="inlineStr">
        <is>
          <t>Unread</t>
        </is>
      </c>
      <c r="I53" s="62" t="inlineStr">
        <is>
          <t>Comprehensive survey of agentic AI threat taxonomy distinguishing autonomous execution risks from traditional LLM safety — essential scope reference for ZeroTrust.sh.</t>
        </is>
      </c>
      <c r="J53" s="65" t="inlineStr">
        <is>
          <t>https://arxiv.org/abs/2510.23883</t>
        </is>
      </c>
      <c r="K53" s="66" t="inlineStr">
        <is>
          <t>Write your notes here…</t>
        </is>
      </c>
    </row>
    <row r="54" ht="60" customHeight="1">
      <c r="A54" s="67" t="n">
        <v>50</v>
      </c>
      <c r="B54" s="68" t="inlineStr">
        <is>
          <t>Are AI-assisted Development Tools Immune to Prompt Injection?</t>
        </is>
      </c>
      <c r="C54" s="68" t="inlineStr">
        <is>
          <t>Multiple authors</t>
        </is>
      </c>
      <c r="D54" s="69" t="inlineStr">
        <is>
          <t>2026</t>
        </is>
      </c>
      <c r="E54" s="68" t="inlineStr">
        <is>
          <t>arXiv:2603.21642</t>
        </is>
      </c>
      <c r="F54" s="68" t="inlineStr">
        <is>
          <t>AI Agent Security</t>
        </is>
      </c>
      <c r="G54" s="68" t="inlineStr">
        <is>
          <t>MCP, tool poisoning, Claude Code, Cursor, Cline, Continue, Gemini CLI, coding tools benchmark</t>
        </is>
      </c>
      <c r="H54" s="64" t="inlineStr">
        <is>
          <t>Unread</t>
        </is>
      </c>
      <c r="I54" s="68" t="inlineStr">
        <is>
          <t>First empirical analysis of MCP clients (Claude Code, Cursor, Cline, Continue, Gemini CLI) against tool-poisoning attacks — directly relevant to detecting injection in AI tool contexts.</t>
        </is>
      </c>
      <c r="J54" s="70" t="inlineStr">
        <is>
          <t>https://arxiv.org/abs/2603.21642</t>
        </is>
      </c>
      <c r="K54" s="71" t="inlineStr">
        <is>
          <t>Write your notes here…</t>
        </is>
      </c>
    </row>
    <row r="55" ht="60" customHeight="1">
      <c r="A55" s="61" t="n">
        <v>51</v>
      </c>
      <c r="B55" s="62" t="inlineStr">
        <is>
          <t>Taming Various Privilege Escalation in LLM-Based Agent Systems: A Mandatory Access Control Framework</t>
        </is>
      </c>
      <c r="C55" s="62" t="inlineStr">
        <is>
          <t>Multiple authors</t>
        </is>
      </c>
      <c r="D55" s="63" t="inlineStr">
        <is>
          <t>2026</t>
        </is>
      </c>
      <c r="E55" s="62" t="inlineStr">
        <is>
          <t>arXiv:2601.11893</t>
        </is>
      </c>
      <c r="F55" s="62" t="inlineStr">
        <is>
          <t>AI Agent Security</t>
        </is>
      </c>
      <c r="G55" s="62" t="inlineStr">
        <is>
          <t>privilege escalation, MAC framework, SEAgent, formal model, agent security policy</t>
        </is>
      </c>
      <c r="H55" s="64" t="inlineStr">
        <is>
          <t>Unread</t>
        </is>
      </c>
      <c r="I55" s="62" t="inlineStr">
        <is>
          <t>Formal model of privilege escalation in LLM agents with SEAgent MAC framework — informs detection rules for trust boundary violations in agentic codebases.</t>
        </is>
      </c>
      <c r="J55" s="65" t="inlineStr">
        <is>
          <t>https://arxiv.org/abs/2601.11893</t>
        </is>
      </c>
      <c r="K55" s="66" t="inlineStr">
        <is>
          <t>Write your notes here…</t>
        </is>
      </c>
    </row>
    <row r="56" ht="60" customHeight="1">
      <c r="A56" s="67" t="n">
        <v>52</v>
      </c>
      <c r="B56" s="68" t="inlineStr">
        <is>
          <t>BacAlarm: Mining and Simulating Composite API Traffic to Prevent Broken Access Control Violations</t>
        </is>
      </c>
      <c r="C56" s="68" t="inlineStr">
        <is>
          <t>Multiple authors</t>
        </is>
      </c>
      <c r="D56" s="69" t="inlineStr">
        <is>
          <t>2025</t>
        </is>
      </c>
      <c r="E56" s="68" t="inlineStr">
        <is>
          <t>arXiv:2512.19997</t>
        </is>
      </c>
      <c r="F56" s="68" t="inlineStr">
        <is>
          <t>Logic Vuln Detection</t>
        </is>
      </c>
      <c r="G56" s="68" t="inlineStr">
        <is>
          <t>broken access control, REST API, OWASP API, LLM agent, RAG, anomaly detection</t>
        </is>
      </c>
      <c r="H56" s="64" t="inlineStr">
        <is>
          <t>Unread</t>
        </is>
      </c>
      <c r="I56" s="68" t="inlineStr">
        <is>
          <t>Broken access control detection in REST APIs via LLM-based agent traffic simulation and ensemble anomaly detection — core to detecting authorization gaps in Path B.</t>
        </is>
      </c>
      <c r="J56" s="70" t="inlineStr">
        <is>
          <t>https://arxiv.org/abs/2512.19997</t>
        </is>
      </c>
      <c r="K56" s="71" t="inlineStr">
        <is>
          <t>Write your notes here…</t>
        </is>
      </c>
    </row>
    <row r="57" ht="60" customHeight="1">
      <c r="A57" s="61" t="n">
        <v>53</v>
      </c>
      <c r="B57" s="62" t="inlineStr">
        <is>
          <t>Rethinking Broken Object Level Authorization Attacks Under Zero Trust Principle</t>
        </is>
      </c>
      <c r="C57" s="62" t="inlineStr">
        <is>
          <t>Wu et al.</t>
        </is>
      </c>
      <c r="D57" s="63" t="inlineStr">
        <is>
          <t>2025</t>
        </is>
      </c>
      <c r="E57" s="62" t="inlineStr">
        <is>
          <t>arXiv:2507.02309</t>
        </is>
      </c>
      <c r="F57" s="62" t="inlineStr">
        <is>
          <t>Logic Vuln Detection</t>
        </is>
      </c>
      <c r="G57" s="62" t="inlineStr">
        <is>
          <t>BOLA, IDOR, zero trust, resource ID dataflow, authorization interval, 35 new CVEs</t>
        </is>
      </c>
      <c r="H57" s="64" t="inlineStr">
        <is>
          <t>Unread</t>
        </is>
      </c>
      <c r="I57" s="62" t="inlineStr">
        <is>
          <t>BOLAZ: zero-trust defense for BOLA/IDOR via resource ID data flow analysis; discovered 35 new vulnerabilities — directly validates Path B's IDOR detection design.</t>
        </is>
      </c>
      <c r="J57" s="65" t="inlineStr">
        <is>
          <t>https://arxiv.org/abs/2507.02309</t>
        </is>
      </c>
      <c r="K57" s="66" t="inlineStr">
        <is>
          <t>Write your notes here…</t>
        </is>
      </c>
    </row>
    <row r="58" ht="60" customHeight="1">
      <c r="A58" s="67" t="n">
        <v>54</v>
      </c>
      <c r="B58" s="68" t="inlineStr">
        <is>
          <t>VULSOLVER: Vulnerability Detection via LLM-Driven Constraint Solving</t>
        </is>
      </c>
      <c r="C58" s="68" t="inlineStr">
        <is>
          <t>Li et al.</t>
        </is>
      </c>
      <c r="D58" s="69" t="inlineStr">
        <is>
          <t>2025</t>
        </is>
      </c>
      <c r="E58" s="68" t="inlineStr">
        <is>
          <t>arXiv:2509.00882</t>
        </is>
      </c>
      <c r="F58" s="68" t="inlineStr">
        <is>
          <t>Logic Vuln Detection</t>
        </is>
      </c>
      <c r="G58" s="68" t="inlineStr">
        <is>
          <t>LLM, constraint solving, call-chain analysis, 96.29% accuracy, semantic reasoning</t>
        </is>
      </c>
      <c r="H58" s="64" t="inlineStr">
        <is>
          <t>Unread</t>
        </is>
      </c>
      <c r="I58" s="68" t="inlineStr">
        <is>
          <t>SAST + LLM semantic reasoning with progressive constraint modeling achieves 96.29% accuracy — applicable to detecting contextually-wrong authorization logic.</t>
        </is>
      </c>
      <c r="J58" s="70" t="inlineStr">
        <is>
          <t>https://arxiv.org/abs/2509.00882</t>
        </is>
      </c>
      <c r="K58" s="71" t="inlineStr">
        <is>
          <t>Write your notes here…</t>
        </is>
      </c>
    </row>
    <row r="59" ht="60" customHeight="1">
      <c r="A59" s="61" t="n">
        <v>55</v>
      </c>
      <c r="B59" s="62" t="inlineStr">
        <is>
          <t>SAVANT: Vulnerability Detection in Application Dependencies through Semantic-Guided Reachability Analysis</t>
        </is>
      </c>
      <c r="C59" s="62" t="inlineStr">
        <is>
          <t>Multiple authors</t>
        </is>
      </c>
      <c r="D59" s="63" t="inlineStr">
        <is>
          <t>2025</t>
        </is>
      </c>
      <c r="E59" s="62" t="inlineStr">
        <is>
          <t>arXiv:2506.17798</t>
        </is>
      </c>
      <c r="F59" s="62" t="inlineStr">
        <is>
          <t>Logic Vuln Detection</t>
        </is>
      </c>
      <c r="G59" s="62" t="inlineStr">
        <is>
          <t>semantic preprocessing, LLM, reachability analysis, library API, 83.8% precision</t>
        </is>
      </c>
      <c r="H59" s="64" t="inlineStr">
        <is>
          <t>Unread</t>
        </is>
      </c>
      <c r="I59" s="62" t="inlineStr">
        <is>
          <t>Semantic preprocessing + LLM context analysis for vulnerable API patterns; 83.8% precision — relevant to detecting missing authorization checks in library calls.</t>
        </is>
      </c>
      <c r="J59" s="65" t="inlineStr">
        <is>
          <t>https://arxiv.org/abs/2506.17798</t>
        </is>
      </c>
      <c r="K59" s="66" t="inlineStr">
        <is>
          <t>Write your notes here…</t>
        </is>
      </c>
    </row>
    <row r="60" ht="60" customHeight="1">
      <c r="A60" s="67" t="n">
        <v>56</v>
      </c>
      <c r="B60" s="68" t="inlineStr">
        <is>
          <t>Argus: Reorchestrating Static Analysis via a Multi-Agent Ensemble for Full-Chain Security Vulnerability Detection</t>
        </is>
      </c>
      <c r="C60" s="68" t="inlineStr">
        <is>
          <t>Multiple authors</t>
        </is>
      </c>
      <c r="D60" s="69" t="inlineStr">
        <is>
          <t>2025</t>
        </is>
      </c>
      <c r="E60" s="68" t="inlineStr">
        <is>
          <t>arXiv:2604.06633</t>
        </is>
      </c>
      <c r="F60" s="68" t="inlineStr">
        <is>
          <t>Logic Vuln Detection</t>
        </is>
      </c>
      <c r="G60" s="68" t="inlineStr">
        <is>
          <t>multi-agent, SAST, false positive reduction, multi-hop reasoning, zero-day, full-chain</t>
        </is>
      </c>
      <c r="H60" s="64" t="inlineStr">
        <is>
          <t>Unread</t>
        </is>
      </c>
      <c r="I60" s="68" t="inlineStr">
        <is>
          <t>First multi-agent LLM framework for SAST with multi-hop reasoning — discovers zero-day vulnerabilities spanning multiple functions; applicable to detecting business logic flaws.</t>
        </is>
      </c>
      <c r="J60" s="70" t="inlineStr">
        <is>
          <t>https://arxiv.org/abs/2604.06633</t>
        </is>
      </c>
      <c r="K60" s="71" t="inlineStr">
        <is>
          <t>Write your notes here…</t>
        </is>
      </c>
    </row>
    <row r="61" ht="60" customHeight="1">
      <c r="A61" s="61" t="n">
        <v>57</v>
      </c>
      <c r="B61" s="62" t="inlineStr">
        <is>
          <t>Benchmarking LLMs and LLM-based Agents in Practical Vulnerability Detection for Code Repositories</t>
        </is>
      </c>
      <c r="C61" s="62" t="inlineStr">
        <is>
          <t>Multiple authors</t>
        </is>
      </c>
      <c r="D61" s="63" t="inlineStr">
        <is>
          <t>2025</t>
        </is>
      </c>
      <c r="E61" s="62" t="inlineStr">
        <is>
          <t>ACL 2025 / arXiv:2503.03586</t>
        </is>
      </c>
      <c r="F61" s="62" t="inlineStr">
        <is>
          <t>Logic Vuln Detection</t>
        </is>
      </c>
      <c r="G61" s="62" t="inlineStr">
        <is>
          <t>JitVul benchmark, 879 CVEs, interprocedural, ReAct agents, authorization flaws, ACL</t>
        </is>
      </c>
      <c r="H61" s="64" t="inlineStr">
        <is>
          <t>Unread</t>
        </is>
      </c>
      <c r="I61" s="62" t="inlineStr">
        <is>
          <t>JitVul benchmark (879 CVEs) requires interprocedural analysis; ReAct agents outperform LLMs on auth flaws — suggests agentic approaches for Path B's multi-function context.</t>
        </is>
      </c>
      <c r="J61" s="65" t="inlineStr">
        <is>
          <t>https://arxiv.org/abs/2503.03586</t>
        </is>
      </c>
      <c r="K61" s="66" t="inlineStr">
        <is>
          <t>Write your notes here…</t>
        </is>
      </c>
    </row>
    <row r="62" ht="60" customHeight="1">
      <c r="A62" s="67" t="n">
        <v>58</v>
      </c>
      <c r="B62" s="68" t="inlineStr">
        <is>
          <t>Prompting the Priorities: A First Look at Evaluating LLMs for Vulnerability Triage and Prioritization</t>
        </is>
      </c>
      <c r="C62" s="68" t="inlineStr">
        <is>
          <t>Multiple authors</t>
        </is>
      </c>
      <c r="D62" s="69" t="inlineStr">
        <is>
          <t>2025</t>
        </is>
      </c>
      <c r="E62" s="68" t="inlineStr">
        <is>
          <t>arXiv:2510.18508</t>
        </is>
      </c>
      <c r="F62" s="68" t="inlineStr">
        <is>
          <t>Logic Vuln Detection</t>
        </is>
      </c>
      <c r="G62" s="68" t="inlineStr">
        <is>
          <t>SSVC, triage, prioritization, 384 real-world CVEs, risk surface selection, LLM evaluation</t>
        </is>
      </c>
      <c r="H62" s="64" t="inlineStr">
        <is>
          <t>Unread</t>
        </is>
      </c>
      <c r="I62" s="68" t="inlineStr">
        <is>
          <t>LLM evaluation on SSVC triage framework with 384 real-world vulnerabilities — methodology for prioritizing high-risk code surfaces before deep Path B analysis.</t>
        </is>
      </c>
      <c r="J62" s="70" t="inlineStr">
        <is>
          <t>https://arxiv.org/abs/2510.18508</t>
        </is>
      </c>
      <c r="K62" s="71" t="inlineStr">
        <is>
          <t>Write your notes here…</t>
        </is>
      </c>
    </row>
    <row r="63" ht="60" customHeight="1">
      <c r="A63" s="61" t="n">
        <v>59</v>
      </c>
      <c r="B63" s="62" t="inlineStr">
        <is>
          <t>I Can't Believe It's Not a Valid Exploit</t>
        </is>
      </c>
      <c r="C63" s="62" t="inlineStr">
        <is>
          <t>Multiple authors</t>
        </is>
      </c>
      <c r="D63" s="63" t="inlineStr">
        <is>
          <t>2026</t>
        </is>
      </c>
      <c r="E63" s="62" t="inlineStr">
        <is>
          <t>arXiv:2602.04165</t>
        </is>
      </c>
      <c r="F63" s="62" t="inlineStr">
        <is>
          <t>Logic Vuln Detection</t>
        </is>
      </c>
      <c r="G63" s="62" t="inlineStr">
        <is>
          <t>PoC-Gym, exploit generation, static analysis guidance, 21% improvement, validation limits</t>
        </is>
      </c>
      <c r="H63" s="64" t="inlineStr">
        <is>
          <t>Unread</t>
        </is>
      </c>
      <c r="I63" s="62" t="inlineStr">
        <is>
          <t>PoC-Gym framework shows static analysis guidance improves LLM exploit generation by 21% — informs heuristics for filtering false-positive authorization scenarios in Path B.</t>
        </is>
      </c>
      <c r="J63" s="65" t="inlineStr">
        <is>
          <t>https://arxiv.org/abs/2602.04165</t>
        </is>
      </c>
      <c r="K63" s="66" t="inlineStr">
        <is>
          <t>Write your notes here…</t>
        </is>
      </c>
    </row>
    <row r="64" ht="60" customHeight="1">
      <c r="A64" s="67" t="n">
        <v>60</v>
      </c>
      <c r="B64" s="68" t="inlineStr">
        <is>
          <t>Mind the Gap: A Practical Attack on GGUF Quantization</t>
        </is>
      </c>
      <c r="C64" s="68" t="inlineStr">
        <is>
          <t>Egashira et al.</t>
        </is>
      </c>
      <c r="D64" s="69" t="inlineStr">
        <is>
          <t>2025</t>
        </is>
      </c>
      <c r="E64" s="68" t="inlineStr">
        <is>
          <t>ICML 2025 / arXiv:2505.23786</t>
        </is>
      </c>
      <c r="F64" s="68" t="inlineStr">
        <is>
          <t>Local LLM Deployment</t>
        </is>
      </c>
      <c r="G64" s="68" t="inlineStr">
        <is>
          <t>GGUF, quantization, backdoor injection, Ollama, llama.cpp, supply chain, ICML</t>
        </is>
      </c>
      <c r="H64" s="64" t="inlineStr">
        <is>
          <t>Unread</t>
        </is>
      </c>
      <c r="I64" s="68" t="inlineStr">
        <is>
          <t>Backdoor injection via GGUF quantization errors — essential threat model for ZeroTrust.sh's local LLM deployment: quantized models can exhibit hidden malicious behaviors.</t>
        </is>
      </c>
      <c r="J64" s="70" t="inlineStr">
        <is>
          <t>https://arxiv.org/abs/2505.23786</t>
        </is>
      </c>
      <c r="K64" s="71" t="inlineStr">
        <is>
          <t>Write your notes here…</t>
        </is>
      </c>
    </row>
    <row r="65" ht="60" customHeight="1">
      <c r="A65" s="61" t="n">
        <v>61</v>
      </c>
      <c r="B65" s="62" t="inlineStr">
        <is>
          <t>Widening the Gap: Exploiting LLM Quantization via Outlier Injection</t>
        </is>
      </c>
      <c r="C65" s="62" t="inlineStr">
        <is>
          <t>Shi et al.</t>
        </is>
      </c>
      <c r="D65" s="63" t="inlineStr">
        <is>
          <t>2025</t>
        </is>
      </c>
      <c r="E65" s="62" t="inlineStr">
        <is>
          <t>arXiv:2605.15152</t>
        </is>
      </c>
      <c r="F65" s="62" t="inlineStr">
        <is>
          <t>Local LLM Deployment</t>
        </is>
      </c>
      <c r="G65" s="62" t="inlineStr">
        <is>
          <t>quantization attack, AWQ, GPTQ, GGUF, outlier injection, adversarial, supply chain</t>
        </is>
      </c>
      <c r="H65" s="64" t="inlineStr">
        <is>
          <t>Unread</t>
        </is>
      </c>
      <c r="I65" s="62" t="inlineStr">
        <is>
          <t>First quantization-conditioned attack affecting AWQ/GPTQ/GGUF — demonstrates supply-chain risks in locally-deployed quantized models; complements GGUF threat model.</t>
        </is>
      </c>
      <c r="J65" s="65" t="inlineStr">
        <is>
          <t>https://arxiv.org/abs/2605.15152</t>
        </is>
      </c>
      <c r="K65" s="66" t="inlineStr">
        <is>
          <t>Write your notes here…</t>
        </is>
      </c>
    </row>
    <row r="66" ht="60" customHeight="1">
      <c r="A66" s="67" t="n">
        <v>62</v>
      </c>
      <c r="B66" s="68" t="inlineStr">
        <is>
          <t>A First Look At Efficient And Secure On-Device LLM Inference Against KV Leakage</t>
        </is>
      </c>
      <c r="C66" s="68" t="inlineStr">
        <is>
          <t>Yang et al.</t>
        </is>
      </c>
      <c r="D66" s="69" t="inlineStr">
        <is>
          <t>2024</t>
        </is>
      </c>
      <c r="E66" s="68" t="inlineStr">
        <is>
          <t>arXiv:2409.04040</t>
        </is>
      </c>
      <c r="F66" s="68" t="inlineStr">
        <is>
          <t>Local LLM Deployment</t>
        </is>
      </c>
      <c r="G66" s="68" t="inlineStr">
        <is>
          <t>on-device LLM, KV cache leakage, FHE, TEE, privacy, local inference security</t>
        </is>
      </c>
      <c r="H66" s="64" t="inlineStr">
        <is>
          <t>Unread</t>
        </is>
      </c>
      <c r="I66" s="68" t="inlineStr">
        <is>
          <t>Privacy attacks on on-device LLM inference via KV cache leakage — demonstrates how local inference can leak conversation history; relevant to ZeroTrust.sh's privacy-first design.</t>
        </is>
      </c>
      <c r="J66" s="70" t="inlineStr">
        <is>
          <t>https://arxiv.org/abs/2409.04040</t>
        </is>
      </c>
      <c r="K66" s="71" t="inlineStr">
        <is>
          <t>Write your notes here…</t>
        </is>
      </c>
    </row>
    <row r="67" ht="60" customHeight="1">
      <c r="A67" s="61" t="n">
        <v>63</v>
      </c>
      <c r="B67" s="62" t="inlineStr">
        <is>
          <t>A Cost-Benefit Analysis of On-Premise Large Language Model Deployment: Breaking Even with Commercial LLM Services</t>
        </is>
      </c>
      <c r="C67" s="62" t="inlineStr">
        <is>
          <t>Pan et al.</t>
        </is>
      </c>
      <c r="D67" s="63" t="inlineStr">
        <is>
          <t>2025</t>
        </is>
      </c>
      <c r="E67" s="62" t="inlineStr">
        <is>
          <t>arXiv:2509.18101</t>
        </is>
      </c>
      <c r="F67" s="62" t="inlineStr">
        <is>
          <t>Local LLM Deployment</t>
        </is>
      </c>
      <c r="G67" s="62" t="inlineStr">
        <is>
          <t>on-premise, cost analysis, breakeven, Qwen, Llama, Mistral, cloud vs local, value proposition</t>
        </is>
      </c>
      <c r="H67" s="64" t="inlineStr">
        <is>
          <t>Unread</t>
        </is>
      </c>
      <c r="I67" s="62" t="inlineStr">
        <is>
          <t>Quantifies breakeven for on-premise LLM vs cloud APIs — supports ZeroTrust.sh's value proposition: local deployment becomes cost-competitive at scale.</t>
        </is>
      </c>
      <c r="J67" s="65" t="inlineStr">
        <is>
          <t>https://arxiv.org/abs/2509.18101</t>
        </is>
      </c>
      <c r="K67" s="66" t="inlineStr">
        <is>
          <t>Write your notes here…</t>
        </is>
      </c>
    </row>
    <row r="68" ht="60" customHeight="1">
      <c r="A68" s="67" t="n">
        <v>69</v>
      </c>
      <c r="B68" s="68" t="inlineStr">
        <is>
          <t>LLMLingua: Compressing Prompts for Accelerated Inference of Large Language Models</t>
        </is>
      </c>
      <c r="C68" s="68" t="inlineStr">
        <is>
          <t>Jiang et al.</t>
        </is>
      </c>
      <c r="D68" s="69" t="inlineStr">
        <is>
          <t>2023</t>
        </is>
      </c>
      <c r="E68" s="68" t="inlineStr">
        <is>
          <t>arXiv:2310.05736</t>
        </is>
      </c>
      <c r="F68" s="68" t="inlineStr">
        <is>
          <t>Prompt Compression</t>
        </is>
      </c>
      <c r="G68" s="68" t="inlineStr">
        <is>
          <t>prompt compression, token pruning, 20x compression, budget control, coarse-to-fine</t>
        </is>
      </c>
      <c r="H68" s="64" t="inlineStr">
        <is>
          <t>Unread</t>
        </is>
      </c>
      <c r="I68" s="68" t="inlineStr">
        <is>
          <t>Iterative token-level compression with budget control; up to 20x compression with minimal loss — directly applicable to compressing code context before LLM security scans.</t>
        </is>
      </c>
      <c r="J68" s="70" t="inlineStr">
        <is>
          <t>https://arxiv.org/abs/2310.05736</t>
        </is>
      </c>
      <c r="K68" s="71" t="inlineStr">
        <is>
          <t>Write your notes here…</t>
        </is>
      </c>
    </row>
    <row r="69" ht="60" customHeight="1">
      <c r="A69" s="61" t="n">
        <v>70</v>
      </c>
      <c r="B69" s="62" t="inlineStr">
        <is>
          <t>LLMLingua-2: Data Distillation for Efficient and Faithful Task-Agnostic Prompt Compression</t>
        </is>
      </c>
      <c r="C69" s="62" t="inlineStr">
        <is>
          <t>Jiang et al.</t>
        </is>
      </c>
      <c r="D69" s="63" t="inlineStr">
        <is>
          <t>2024</t>
        </is>
      </c>
      <c r="E69" s="62" t="inlineStr">
        <is>
          <t>arXiv:2403.12968</t>
        </is>
      </c>
      <c r="F69" s="62" t="inlineStr">
        <is>
          <t>Prompt Compression</t>
        </is>
      </c>
      <c r="G69" s="62" t="inlineStr">
        <is>
          <t>prompt compression, data distillation, token classification, 3-6x faster, 1.6-2.9x latency</t>
        </is>
      </c>
      <c r="H69" s="64" t="inlineStr">
        <is>
          <t>Unread</t>
        </is>
      </c>
      <c r="I69" s="62" t="inlineStr">
        <is>
          <t>Compression as token classification via GPT-4 distillation; 3–6x faster than LLMLingua with 2–5x compression ratios — ideal for repeated scans of similar code patterns.</t>
        </is>
      </c>
      <c r="J69" s="65" t="inlineStr">
        <is>
          <t>https://arxiv.org/abs/2403.12968</t>
        </is>
      </c>
      <c r="K69" s="66" t="inlineStr">
        <is>
          <t>Write your notes here…</t>
        </is>
      </c>
    </row>
    <row r="70" ht="60" customHeight="1">
      <c r="A70" s="67" t="n">
        <v>71</v>
      </c>
      <c r="B70" s="68" t="inlineStr">
        <is>
          <t>LongLLMLingua: Accelerating and Enhancing LLMs in Long Context Scenarios via Prompt Compression</t>
        </is>
      </c>
      <c r="C70" s="68" t="inlineStr">
        <is>
          <t>Jiang et al.</t>
        </is>
      </c>
      <c r="D70" s="69" t="inlineStr">
        <is>
          <t>2023</t>
        </is>
      </c>
      <c r="E70" s="68" t="inlineStr">
        <is>
          <t>arXiv:2310.06839</t>
        </is>
      </c>
      <c r="F70" s="68" t="inlineStr">
        <is>
          <t>Prompt Compression</t>
        </is>
      </c>
      <c r="G70" s="68" t="inlineStr">
        <is>
          <t>long context, question-aware compression, document reordering, 94% cost reduction, 4x fewer tokens</t>
        </is>
      </c>
      <c r="H70" s="64" t="inlineStr">
        <is>
          <t>Unread</t>
        </is>
      </c>
      <c r="I70" s="68" t="inlineStr">
        <is>
          <t>Question-aware compression for long-context scenarios; 94% cost reduction on LooGLE — critical for scanning large codebases and enriching prompts with vulnerability databases.</t>
        </is>
      </c>
      <c r="J70" s="70" t="inlineStr">
        <is>
          <t>https://arxiv.org/abs/2310.06839</t>
        </is>
      </c>
      <c r="K70" s="71" t="inlineStr">
        <is>
          <t>Write your notes here…</t>
        </is>
      </c>
    </row>
    <row r="71" ht="60" customHeight="1">
      <c r="A71" s="61" t="n">
        <v>72</v>
      </c>
      <c r="B71" s="62" t="inlineStr">
        <is>
          <t>RECOMP: Improving Retrieval-Augmented LMs with Compression and Selective Augmentation</t>
        </is>
      </c>
      <c r="C71" s="62" t="inlineStr">
        <is>
          <t>Xu et al.</t>
        </is>
      </c>
      <c r="D71" s="63" t="inlineStr">
        <is>
          <t>2023</t>
        </is>
      </c>
      <c r="E71" s="62" t="inlineStr">
        <is>
          <t>arXiv:2310.04408</t>
        </is>
      </c>
      <c r="F71" s="62" t="inlineStr">
        <is>
          <t>Prompt Compression</t>
        </is>
      </c>
      <c r="G71" s="62" t="inlineStr">
        <is>
          <t>RAG, retrieval augmentation, extractive compression, abstractive compression, 6% compression rate</t>
        </is>
      </c>
      <c r="H71" s="64" t="inlineStr">
        <is>
          <t>Unread</t>
        </is>
      </c>
      <c r="I71" s="62" t="inlineStr">
        <is>
          <t>Compresses retrieved documents in RAG pipelines via extractive and abstractive methods — relevant when ZeroTrust.sh augments prompts with retrieved CVE or security knowledge.</t>
        </is>
      </c>
      <c r="J71" s="65" t="inlineStr">
        <is>
          <t>https://arxiv.org/abs/2310.04408</t>
        </is>
      </c>
      <c r="K71" s="66" t="inlineStr">
        <is>
          <t>Write your notes here…</t>
        </is>
      </c>
    </row>
    <row r="72" ht="60" customHeight="1">
      <c r="A72" s="67" t="n">
        <v>73</v>
      </c>
      <c r="B72" s="68" t="inlineStr">
        <is>
          <t>Pruning the Unsurprising: Efficient LLM Reasoning via First-Token Surprisal</t>
        </is>
      </c>
      <c r="C72" s="68" t="inlineStr">
        <is>
          <t>Multiple authors</t>
        </is>
      </c>
      <c r="D72" s="69" t="inlineStr">
        <is>
          <t>2025</t>
        </is>
      </c>
      <c r="E72" s="68" t="inlineStr">
        <is>
          <t>arXiv:2508.05988</t>
        </is>
      </c>
      <c r="F72" s="68" t="inlineStr">
        <is>
          <t>Prompt Compression</t>
        </is>
      </c>
      <c r="G72" s="68" t="inlineStr">
        <is>
          <t>CoT compression, first-token surprisal, 23.5% token reduction, 43.5% latency reduction, ASAP</t>
        </is>
      </c>
      <c r="H72" s="64" t="inlineStr">
        <is>
          <t>Unread</t>
        </is>
      </c>
      <c r="I72" s="68" t="inlineStr">
        <is>
          <t>ASAP framework compresses chain-of-thought by 23.5% tokens and 43.5% latency — optimizes reasoning chains in vulnerability analysis without sacrificing accuracy.</t>
        </is>
      </c>
      <c r="J72" s="70" t="inlineStr">
        <is>
          <t>https://arxiv.org/abs/2508.05988</t>
        </is>
      </c>
      <c r="K72" s="71" t="inlineStr">
        <is>
          <t>Write your notes here…</t>
        </is>
      </c>
    </row>
    <row r="73" ht="60" customHeight="1">
      <c r="A73" s="61" t="n">
        <v>74</v>
      </c>
      <c r="B73" s="62" t="inlineStr">
        <is>
          <t>Large Language Models as Optimizers (OPRO)</t>
        </is>
      </c>
      <c r="C73" s="62" t="inlineStr">
        <is>
          <t>Yang et al.</t>
        </is>
      </c>
      <c r="D73" s="63" t="inlineStr">
        <is>
          <t>2023</t>
        </is>
      </c>
      <c r="E73" s="62" t="inlineStr">
        <is>
          <t>arXiv:2309.03409</t>
        </is>
      </c>
      <c r="F73" s="62" t="inlineStr">
        <is>
          <t>Prompt Engineering</t>
        </is>
      </c>
      <c r="G73" s="62" t="inlineStr">
        <is>
          <t>automatic prompt optimization, OPRO, LLM-based refinement, in-context learning, 50% improvement</t>
        </is>
      </c>
      <c r="H73" s="64" t="inlineStr">
        <is>
          <t>Unread</t>
        </is>
      </c>
      <c r="I73" s="62" t="inlineStr">
        <is>
          <t>Automatic prompt optimization via LLM-based iterative refinement; best prompts beat human-designed by up to 50% — applicable to auto-tuning ZeroTrust.sh security scanning prompts.</t>
        </is>
      </c>
      <c r="J73" s="65" t="inlineStr">
        <is>
          <t>https://arxiv.org/abs/2309.03409</t>
        </is>
      </c>
      <c r="K73" s="66" t="inlineStr">
        <is>
          <t>Write your notes here…</t>
        </is>
      </c>
    </row>
    <row r="74" ht="60" customHeight="1">
      <c r="A74" s="67" t="n">
        <v>75</v>
      </c>
      <c r="B74" s="68" t="inlineStr">
        <is>
          <t>Chain of Draft: Thinking Faster by Writing Less</t>
        </is>
      </c>
      <c r="C74" s="68" t="inlineStr">
        <is>
          <t>Xu et al.</t>
        </is>
      </c>
      <c r="D74" s="69" t="inlineStr">
        <is>
          <t>2025</t>
        </is>
      </c>
      <c r="E74" s="68" t="inlineStr">
        <is>
          <t>arXiv:2502.18600</t>
        </is>
      </c>
      <c r="F74" s="68" t="inlineStr">
        <is>
          <t>Prompt Engineering</t>
        </is>
      </c>
      <c r="G74" s="68" t="inlineStr">
        <is>
          <t>chain of draft, CoT efficiency, 7.6% tokens, reasoning cost reduction, latency</t>
        </is>
      </c>
      <c r="H74" s="64" t="inlineStr">
        <is>
          <t>Unread</t>
        </is>
      </c>
      <c r="I74" s="68" t="inlineStr">
        <is>
          <t>Reduces CoT verbosity to 7.6% of tokens while matching CoT accuracy — practical cost/latency reduction for reasoning-heavy vulnerability analysis in Path B.</t>
        </is>
      </c>
      <c r="J74" s="70" t="inlineStr">
        <is>
          <t>https://arxiv.org/abs/2502.18600</t>
        </is>
      </c>
      <c r="K74" s="71" t="inlineStr">
        <is>
          <t>Write your notes here…</t>
        </is>
      </c>
    </row>
    <row r="75" ht="60" customHeight="1">
      <c r="A75" s="61" t="n">
        <v>76</v>
      </c>
      <c r="B75" s="62" t="inlineStr">
        <is>
          <t>Which Examples to Annotate for In-Context Learning? Towards Effective and Efficient Selection</t>
        </is>
      </c>
      <c r="C75" s="62" t="inlineStr">
        <is>
          <t>Mavromatis et al.</t>
        </is>
      </c>
      <c r="D75" s="63" t="inlineStr">
        <is>
          <t>2023</t>
        </is>
      </c>
      <c r="E75" s="62" t="inlineStr">
        <is>
          <t>arXiv:2310.20046</t>
        </is>
      </c>
      <c r="F75" s="62" t="inlineStr">
        <is>
          <t>Prompt Engineering</t>
        </is>
      </c>
      <c r="G75" s="62" t="inlineStr">
        <is>
          <t>few-shot selection, in-context learning, budget constraint, uncertainty sampling, diversity, AdaICL</t>
        </is>
      </c>
      <c r="H75" s="64" t="inlineStr">
        <is>
          <t>Unread</t>
        </is>
      </c>
      <c r="I75" s="62" t="inlineStr">
        <is>
          <t>AdaICL selects maximally informative few-shot examples under token budget constraints — applicable to selecting the best security examples per scan without exceeding token limits.</t>
        </is>
      </c>
      <c r="J75" s="65" t="inlineStr">
        <is>
          <t>https://arxiv.org/abs/2310.20046</t>
        </is>
      </c>
      <c r="K75" s="66" t="inlineStr">
        <is>
          <t>Write your notes here…</t>
        </is>
      </c>
    </row>
    <row r="76" ht="60" customHeight="1">
      <c r="A76" s="67" t="n">
        <v>77</v>
      </c>
      <c r="B76" s="68" t="inlineStr">
        <is>
          <t>DecoPrompt: Decoding Prompts Reduces Hallucinations when Large Language Models Meet False Premises</t>
        </is>
      </c>
      <c r="C76" s="68" t="inlineStr">
        <is>
          <t>Xu and Ma</t>
        </is>
      </c>
      <c r="D76" s="69" t="inlineStr">
        <is>
          <t>2024</t>
        </is>
      </c>
      <c r="E76" s="68" t="inlineStr">
        <is>
          <t>arXiv:2411.07457</t>
        </is>
      </c>
      <c r="F76" s="68" t="inlineStr">
        <is>
          <t>Prompt Engineering</t>
        </is>
      </c>
      <c r="G76" s="68" t="inlineStr">
        <is>
          <t>hallucination reduction, false premises, decoding prompts, inference-time, no retraining</t>
        </is>
      </c>
      <c r="H76" s="64" t="inlineStr">
        <is>
          <t>Unread</t>
        </is>
      </c>
      <c r="I76" s="68" t="inlineStr">
        <is>
          <t>Inference-time hallucination reduction by decoding the prompt itself — cost-effective false positive reduction for ZeroTrust.sh without model retraining.</t>
        </is>
      </c>
      <c r="J76" s="70" t="inlineStr">
        <is>
          <t>https://arxiv.org/abs/2411.07457</t>
        </is>
      </c>
      <c r="K76" s="71" t="inlineStr">
        <is>
          <t>Write your notes here…</t>
        </is>
      </c>
    </row>
    <row r="77" ht="60" customHeight="1">
      <c r="A77" s="61" t="n">
        <v>78</v>
      </c>
      <c r="B77" s="62" t="inlineStr">
        <is>
          <t>Unlocking Efficiency in Large Language Model Inference: A Comprehensive Survey of Speculative Decoding</t>
        </is>
      </c>
      <c r="C77" s="62" t="inlineStr">
        <is>
          <t>Multiple authors</t>
        </is>
      </c>
      <c r="D77" s="63" t="inlineStr">
        <is>
          <t>2024</t>
        </is>
      </c>
      <c r="E77" s="62" t="inlineStr">
        <is>
          <t>arXiv:2401.07851</t>
        </is>
      </c>
      <c r="F77" s="62" t="inlineStr">
        <is>
          <t>Inference Speed</t>
        </is>
      </c>
      <c r="G77" s="62" t="inlineStr">
        <is>
          <t>speculative decoding, draft model, parallel verification, inference acceleration, survey</t>
        </is>
      </c>
      <c r="H77" s="64" t="inlineStr">
        <is>
          <t>Unread</t>
        </is>
      </c>
      <c r="I77" s="62" t="inlineStr">
        <is>
          <t>Comprehensive survey of speculative decoding (small draft model + large verifier) for LLM inference acceleration — core technique for optimizing local Ollama/llama.cpp execution speed.</t>
        </is>
      </c>
      <c r="J77" s="65" t="inlineStr">
        <is>
          <t>https://arxiv.org/abs/2401.07851</t>
        </is>
      </c>
      <c r="K77" s="66" t="inlineStr">
        <is>
          <t>Write your notes here…</t>
        </is>
      </c>
    </row>
    <row r="78" ht="60" customHeight="1">
      <c r="A78" s="67" t="n">
        <v>79</v>
      </c>
      <c r="B78" s="68" t="inlineStr">
        <is>
          <t>Keep the Cost Down: A Review on Methods to Optimize LLM's KV-Cache Consumption</t>
        </is>
      </c>
      <c r="C78" s="68" t="inlineStr">
        <is>
          <t>Multiple authors</t>
        </is>
      </c>
      <c r="D78" s="69" t="inlineStr">
        <is>
          <t>2024</t>
        </is>
      </c>
      <c r="E78" s="68" t="inlineStr">
        <is>
          <t>arXiv:2407.18003</t>
        </is>
      </c>
      <c r="F78" s="68" t="inlineStr">
        <is>
          <t>Inference Speed</t>
        </is>
      </c>
      <c r="G78" s="68" t="inlineStr">
        <is>
          <t>KV-cache, PagedAttention, vLLM, token pruning, VRAM, memory optimization, survey</t>
        </is>
      </c>
      <c r="H78" s="64" t="inlineStr">
        <is>
          <t>Unread</t>
        </is>
      </c>
      <c r="I78" s="68" t="inlineStr">
        <is>
          <t>Survey of KV-cache optimization strategies (PagedAttention, distributed KV-cache, token pruning) — reduces VRAM footprint for quantized GGUF models in ZeroTrust.sh local inference.</t>
        </is>
      </c>
      <c r="J78" s="70" t="inlineStr">
        <is>
          <t>https://arxiv.org/abs/2407.18003</t>
        </is>
      </c>
      <c r="K78" s="71" t="inlineStr">
        <is>
          <t>Write your notes here…</t>
        </is>
      </c>
    </row>
    <row r="79" ht="60" customHeight="1">
      <c r="A79" s="61" t="n">
        <v>80</v>
      </c>
      <c r="B79" s="62" t="inlineStr">
        <is>
          <t>FlashAttention: Fast and Memory-Efficient Exact Attention with IO-Awareness</t>
        </is>
      </c>
      <c r="C79" s="62" t="inlineStr">
        <is>
          <t>Dao et al.</t>
        </is>
      </c>
      <c r="D79" s="63" t="inlineStr">
        <is>
          <t>2022</t>
        </is>
      </c>
      <c r="E79" s="62" t="inlineStr">
        <is>
          <t>arXiv:2205.14135</t>
        </is>
      </c>
      <c r="F79" s="62" t="inlineStr">
        <is>
          <t>Inference Speed</t>
        </is>
      </c>
      <c r="G79" s="62" t="inlineStr">
        <is>
          <t>flash attention, IO-aware, O(N) memory, foundational, attention efficiency, transformer</t>
        </is>
      </c>
      <c r="H79" s="64" t="inlineStr">
        <is>
          <t>Unread</t>
        </is>
      </c>
      <c r="I79" s="62" t="inlineStr">
        <is>
          <t>Foundational IO-aware attention reducing memory from O(N²) to O(N) — enables processing longer code snippets with lower memory overhead during semantic analysis.</t>
        </is>
      </c>
      <c r="J79" s="65" t="inlineStr">
        <is>
          <t>https://arxiv.org/abs/2205.14135</t>
        </is>
      </c>
      <c r="K79" s="66" t="inlineStr">
        <is>
          <t>Write your notes here…</t>
        </is>
      </c>
    </row>
    <row r="80" ht="60" customHeight="1">
      <c r="A80" s="67" t="n">
        <v>81</v>
      </c>
      <c r="B80" s="68" t="inlineStr">
        <is>
          <t>Why Low-Precision Transformer Training Fails: An Analysis on Flash Attention</t>
        </is>
      </c>
      <c r="C80" s="68" t="inlineStr">
        <is>
          <t>Multiple authors</t>
        </is>
      </c>
      <c r="D80" s="69" t="inlineStr">
        <is>
          <t>2025</t>
        </is>
      </c>
      <c r="E80" s="68" t="inlineStr">
        <is>
          <t>arXiv:2510.04212</t>
        </is>
      </c>
      <c r="F80" s="68" t="inlineStr">
        <is>
          <t>Inference Speed</t>
        </is>
      </c>
      <c r="G80" s="68" t="inlineStr">
        <is>
          <t>low-precision, GGUF, flash attention, quantization, performance analysis, precision limits</t>
        </is>
      </c>
      <c r="H80" s="64" t="inlineStr">
        <is>
          <t>Unread</t>
        </is>
      </c>
      <c r="I80" s="68" t="inlineStr">
        <is>
          <t>Analyzes Flash Attention behavior under low-precision quantization — critical for understanding performance characteristics of quantized models used in ZeroTrust.sh's local deployment.</t>
        </is>
      </c>
      <c r="J80" s="70" t="inlineStr">
        <is>
          <t>https://arxiv.org/abs/2510.04212</t>
        </is>
      </c>
      <c r="K80" s="71" t="inlineStr">
        <is>
          <t>Write your notes here…</t>
        </is>
      </c>
    </row>
    <row r="81" ht="60" customHeight="1">
      <c r="A81" s="61" t="n">
        <v>82</v>
      </c>
      <c r="B81" s="62" t="inlineStr">
        <is>
          <t>Optimizing LLM Inference Throughput via Memory-aware and SLA-constrained Dynamic Batching</t>
        </is>
      </c>
      <c r="C81" s="62" t="inlineStr">
        <is>
          <t>Multiple authors</t>
        </is>
      </c>
      <c r="D81" s="63" t="inlineStr">
        <is>
          <t>2025</t>
        </is>
      </c>
      <c r="E81" s="62" t="inlineStr">
        <is>
          <t>arXiv:2503.05248</t>
        </is>
      </c>
      <c r="F81" s="62" t="inlineStr">
        <is>
          <t>Inference Speed</t>
        </is>
      </c>
      <c r="G81" s="62" t="inlineStr">
        <is>
          <t>dynamic batching, throughput, SLA, memory-aware, continuous batching, parallel scanning</t>
        </is>
      </c>
      <c r="H81" s="64" t="inlineStr">
        <is>
          <t>Unread</t>
        </is>
      </c>
      <c r="I81" s="62" t="inlineStr">
        <is>
          <t>Memory-aware dynamic batching with SLA constraints — optimizes continuous batching for ZeroTrust.sh's parallel Path A/B analysis phases to maximize throughput.</t>
        </is>
      </c>
      <c r="J81" s="65" t="inlineStr">
        <is>
          <t>https://arxiv.org/abs/2503.05248</t>
        </is>
      </c>
      <c r="K81" s="66" t="inlineStr">
        <is>
          <t>Write your notes here…</t>
        </is>
      </c>
    </row>
    <row r="82" ht="60" customHeight="1">
      <c r="A82" s="67" t="n">
        <v>83</v>
      </c>
      <c r="B82" s="68" t="inlineStr">
        <is>
          <t>XGrammar: Flexible and Efficient Structured Generation Engine for Large Language Models</t>
        </is>
      </c>
      <c r="C82" s="68" t="inlineStr">
        <is>
          <t>Multiple authors</t>
        </is>
      </c>
      <c r="D82" s="69" t="inlineStr">
        <is>
          <t>2024</t>
        </is>
      </c>
      <c r="E82" s="68" t="inlineStr">
        <is>
          <t>arXiv:2411.15100</t>
        </is>
      </c>
      <c r="F82" s="68" t="inlineStr">
        <is>
          <t>Structured Generation</t>
        </is>
      </c>
      <c r="G82" s="68" t="inlineStr">
        <is>
          <t>grammar-constrained decoding, BNF, CFG, JSON, zero overhead, structured output, XGrammar</t>
        </is>
      </c>
      <c r="H82" s="64" t="inlineStr">
        <is>
          <t>Unread</t>
        </is>
      </c>
      <c r="I82" s="68" t="inlineStr">
        <is>
          <t>Grammar-constrained decoding supporting BNF/CFG with zero overhead — enables Path B LLM to output structured JSON vulnerability findings without post-processing verification tokens.</t>
        </is>
      </c>
      <c r="J82" s="70" t="inlineStr">
        <is>
          <t>https://arxiv.org/abs/2411.15100</t>
        </is>
      </c>
      <c r="K82" s="71" t="inlineStr">
        <is>
          <t>Write your notes here…</t>
        </is>
      </c>
    </row>
    <row r="83" ht="60" customHeight="1">
      <c r="A83" s="61" t="n">
        <v>84</v>
      </c>
      <c r="B83" s="62" t="inlineStr">
        <is>
          <t>JSONSchemaBench: A Rigorous Benchmark of Structured Outputs for Language Models</t>
        </is>
      </c>
      <c r="C83" s="62" t="inlineStr">
        <is>
          <t>Multiple authors</t>
        </is>
      </c>
      <c r="D83" s="63" t="inlineStr">
        <is>
          <t>2025</t>
        </is>
      </c>
      <c r="E83" s="62" t="inlineStr">
        <is>
          <t>arXiv:2501.10868</t>
        </is>
      </c>
      <c r="F83" s="62" t="inlineStr">
        <is>
          <t>Structured Generation</t>
        </is>
      </c>
      <c r="G83" s="62" t="inlineStr">
        <is>
          <t>JSON schema, structured output, Guidance, Outlines, XGrammar, benchmark, compliance</t>
        </is>
      </c>
      <c r="H83" s="64" t="inlineStr">
        <is>
          <t>Unread</t>
        </is>
      </c>
      <c r="I83" s="62" t="inlineStr">
        <is>
          <t>Benchmarks constrained-decoding frameworks (Guidance, Outlines, XGrammar) on JSON Schema compliance — validates structured generation reliability for ZeroTrust.sh vulnerability report output.</t>
        </is>
      </c>
      <c r="J83" s="65" t="inlineStr">
        <is>
          <t>https://arxiv.org/abs/2501.10868</t>
        </is>
      </c>
      <c r="K83" s="66" t="inlineStr">
        <is>
          <t>Write your notes here…</t>
        </is>
      </c>
    </row>
    <row r="84" ht="60" customHeight="1">
      <c r="A84" s="67" t="n">
        <v>85</v>
      </c>
      <c r="B84" s="68" t="inlineStr">
        <is>
          <t>SynCode: LLM Generation with Grammar Augmentation</t>
        </is>
      </c>
      <c r="C84" s="68" t="inlineStr">
        <is>
          <t>Multiple authors</t>
        </is>
      </c>
      <c r="D84" s="69" t="inlineStr">
        <is>
          <t>2024</t>
        </is>
      </c>
      <c r="E84" s="68" t="inlineStr">
        <is>
          <t>arXiv:2403.01632</t>
        </is>
      </c>
      <c r="F84" s="68" t="inlineStr">
        <is>
          <t>Structured Generation</t>
        </is>
      </c>
      <c r="G84" s="68" t="inlineStr">
        <is>
          <t>grammar augmentation, syntactic constraints, output schema, structured generation, alternative to XGrammar</t>
        </is>
      </c>
      <c r="H84" s="64" t="inlineStr">
        <is>
          <t>Unread</t>
        </is>
      </c>
      <c r="I84" s="68" t="inlineStr">
        <is>
          <t>Grammar-augmented generation enforcing output structure via syntactic constraints — alternative to XGrammar for ensuring ZeroTrust.sh semantic output conforms to fixed schema.</t>
        </is>
      </c>
      <c r="J84" s="70" t="inlineStr">
        <is>
          <t>https://arxiv.org/abs/2403.01632</t>
        </is>
      </c>
      <c r="K84" s="71" t="inlineStr">
        <is>
          <t>Write your notes here…</t>
        </is>
      </c>
    </row>
    <row r="85" ht="60" customHeight="1">
      <c r="A85" s="61" t="n">
        <v>86</v>
      </c>
      <c r="B85" s="62" t="inlineStr">
        <is>
          <t>Beyond RAG vs. Long-Context: Learning Distraction-Aware Retrieval for Efficient Knowledge Grounding</t>
        </is>
      </c>
      <c r="C85" s="62" t="inlineStr">
        <is>
          <t>Multiple authors</t>
        </is>
      </c>
      <c r="D85" s="63" t="inlineStr">
        <is>
          <t>2024</t>
        </is>
      </c>
      <c r="E85" s="62" t="inlineStr">
        <is>
          <t>arXiv:2509.21865</t>
        </is>
      </c>
      <c r="F85" s="62" t="inlineStr">
        <is>
          <t>Context Management</t>
        </is>
      </c>
      <c r="G85" s="62" t="inlineStr">
        <is>
          <t>RAG, long context, distraction-aware, lost in the middle, retrieval, code snippet selection</t>
        </is>
      </c>
      <c r="H85" s="64" t="inlineStr">
        <is>
          <t>Unread</t>
        </is>
      </c>
      <c r="I85" s="62" t="inlineStr">
        <is>
          <t>Distraction-aware retrieval mitigating 'lost in the middle' effect — addresses how ZeroTrust.sh should select and contextualize code snippets rather than passing entire files to the LLM.</t>
        </is>
      </c>
      <c r="J85" s="65" t="inlineStr">
        <is>
          <t>https://arxiv.org/abs/2509.21865</t>
        </is>
      </c>
      <c r="K85" s="66" t="inlineStr">
        <is>
          <t>Write your notes here…</t>
        </is>
      </c>
    </row>
    <row r="86" ht="60" customHeight="1">
      <c r="A86" s="67" t="n">
        <v>64</v>
      </c>
      <c r="B86" s="68" t="inlineStr">
        <is>
          <t>Automated Vulnerability Validation and Verification: A Large Language Model Approach</t>
        </is>
      </c>
      <c r="C86" s="68" t="inlineStr">
        <is>
          <t>Lotfi et al.</t>
        </is>
      </c>
      <c r="D86" s="69" t="inlineStr">
        <is>
          <t>2025</t>
        </is>
      </c>
      <c r="E86" s="68" t="inlineStr">
        <is>
          <t>arXiv:2509.24037</t>
        </is>
      </c>
      <c r="F86" s="68" t="inlineStr">
        <is>
          <t>Exploit Automation</t>
        </is>
      </c>
      <c r="G86" s="68" t="inlineStr">
        <is>
          <t>CVE exploitation, Docker, automated validation, 70% reproduction rate, offline LLM, PoE layer</t>
        </is>
      </c>
      <c r="H86" s="64" t="inlineStr">
        <is>
          <t>Unread</t>
        </is>
      </c>
      <c r="I86" s="68" t="inlineStr">
        <is>
          <t>End-to-end LLM pipeline for automated CVE exploitation with Docker orchestration; 70% CVE reproduction rate — directly applicable to ZeroTrust.sh's Approach 3 PoE layer design.</t>
        </is>
      </c>
      <c r="J86" s="70" t="inlineStr">
        <is>
          <t>https://arxiv.org/abs/2509.24037</t>
        </is>
      </c>
      <c r="K86" s="71" t="inlineStr">
        <is>
          <t>Write your notes here…</t>
        </is>
      </c>
    </row>
    <row r="87" ht="60" customHeight="1">
      <c r="A87" s="61" t="n">
        <v>65</v>
      </c>
      <c r="B87" s="62" t="inlineStr">
        <is>
          <t>Patch-to-PoC: A Systematic Study of Agentic LLM Systems for Linux Kernel N-Day Reproduction</t>
        </is>
      </c>
      <c r="C87" s="62" t="inlineStr">
        <is>
          <t>Pu et al.</t>
        </is>
      </c>
      <c r="D87" s="63" t="inlineStr">
        <is>
          <t>2026</t>
        </is>
      </c>
      <c r="E87" s="62" t="inlineStr">
        <is>
          <t>arXiv:2602.07287</t>
        </is>
      </c>
      <c r="F87" s="62" t="inlineStr">
        <is>
          <t>Exploit Automation</t>
        </is>
      </c>
      <c r="G87" s="62" t="inlineStr">
        <is>
          <t>PoC generation, kernel exploit, KernelCTF, VM sandbox, 50%+ success, K-REPRO agent</t>
        </is>
      </c>
      <c r="H87" s="64" t="inlineStr">
        <is>
          <t>Unread</t>
        </is>
      </c>
      <c r="I87" s="62" t="inlineStr">
        <is>
          <t>Autonomous LLM-based PoC generation from kernel patches with 50%+ success on KernelCTF — K-REPRO agent architecture with VM management informs sandbox PoE design.</t>
        </is>
      </c>
      <c r="J87" s="65" t="inlineStr">
        <is>
          <t>https://arxiv.org/abs/2602.07287</t>
        </is>
      </c>
      <c r="K87" s="66" t="inlineStr">
        <is>
          <t>Write your notes here…</t>
        </is>
      </c>
    </row>
    <row r="88" ht="60" customHeight="1">
      <c r="A88" s="67" t="n">
        <v>66</v>
      </c>
      <c r="B88" s="68" t="inlineStr">
        <is>
          <t>PentestAgent: Incorporating LLM Agents to Automated Penetration Testing</t>
        </is>
      </c>
      <c r="C88" s="68" t="inlineStr">
        <is>
          <t>Feng et al.</t>
        </is>
      </c>
      <c r="D88" s="69" t="inlineStr">
        <is>
          <t>2024</t>
        </is>
      </c>
      <c r="E88" s="68" t="inlineStr">
        <is>
          <t>arXiv:2411.05185</t>
        </is>
      </c>
      <c r="F88" s="68" t="inlineStr">
        <is>
          <t>Exploit Automation</t>
        </is>
      </c>
      <c r="G88" s="68" t="inlineStr">
        <is>
          <t>penetration testing, multi-agent, VulHub, Docker, reconnaissance, exploitation, red team</t>
        </is>
      </c>
      <c r="H88" s="64" t="inlineStr">
        <is>
          <t>Unread</t>
        </is>
      </c>
      <c r="I88" s="68" t="inlineStr">
        <is>
          <t>Multi-agent framework for autonomous pentest using Docker VulHub environments — demonstrates agent architecture for reconnaissance and exploitation applicable to ZeroTrust.sh red-team layer.</t>
        </is>
      </c>
      <c r="J88" s="70" t="inlineStr">
        <is>
          <t>https://arxiv.org/abs/2411.05185</t>
        </is>
      </c>
      <c r="K88" s="71" t="inlineStr">
        <is>
          <t>Write your notes here…</t>
        </is>
      </c>
    </row>
    <row r="89" ht="60" customHeight="1">
      <c r="A89" s="61" t="n">
        <v>67</v>
      </c>
      <c r="B89" s="62" t="inlineStr">
        <is>
          <t>Directed Greybox Fuzzing via Large Language Model</t>
        </is>
      </c>
      <c r="C89" s="62" t="inlineStr">
        <is>
          <t>Xu et al.</t>
        </is>
      </c>
      <c r="D89" s="63" t="inlineStr">
        <is>
          <t>2025</t>
        </is>
      </c>
      <c r="E89" s="62" t="inlineStr">
        <is>
          <t>arXiv:2505.03425</t>
        </is>
      </c>
      <c r="F89" s="62" t="inlineStr">
        <is>
          <t>Exploit Automation</t>
        </is>
      </c>
      <c r="G89" s="62" t="inlineStr">
        <is>
          <t>LLM fuzzing, path constraint, code generation, 9 new CVEs, 17/20 trigger rate, HGFuzzer</t>
        </is>
      </c>
      <c r="H89" s="64" t="inlineStr">
        <is>
          <t>Unread</t>
        </is>
      </c>
      <c r="I89" s="62" t="inlineStr">
        <is>
          <t>HGFuzzer uses LLMs to transform path constraints into code generation tasks; discovered 9 new CVEs with 17/20 trigger rate — alternative exploit discovery layer for Approach 3.</t>
        </is>
      </c>
      <c r="J89" s="65" t="inlineStr">
        <is>
          <t>https://arxiv.org/abs/2505.03425</t>
        </is>
      </c>
      <c r="K89" s="66" t="inlineStr">
        <is>
          <t>Write your notes here…</t>
        </is>
      </c>
    </row>
    <row r="90" ht="60" customHeight="1">
      <c r="A90" s="67" t="n">
        <v>68</v>
      </c>
      <c r="B90" s="68" t="inlineStr">
        <is>
          <t>PoCGen: Generating Proof-of-Concept Exploits for Vulnerabilities in NPM Packages</t>
        </is>
      </c>
      <c r="C90" s="68" t="inlineStr">
        <is>
          <t>Shen et al.</t>
        </is>
      </c>
      <c r="D90" s="69" t="inlineStr">
        <is>
          <t>2025</t>
        </is>
      </c>
      <c r="E90" s="68" t="inlineStr">
        <is>
          <t>arXiv:2506.04962</t>
        </is>
      </c>
      <c r="F90" s="68" t="inlineStr">
        <is>
          <t>Exploit Automation</t>
        </is>
      </c>
      <c r="G90" s="68" t="inlineStr">
        <is>
          <t>PoC generation, npm, JavaScript, Node.js, 77% success rate, CVE disclosure, ecosystem-specific</t>
        </is>
      </c>
      <c r="H90" s="64" t="inlineStr">
        <is>
          <t>Unread</t>
        </is>
      </c>
      <c r="I90" s="68" t="inlineStr">
        <is>
          <t>Autonomous LLM-based PoC for npm vulnerabilities (77% on SecBench.js); 6 PoCs in official CVE disclosures — demonstrates ecosystem-specific PoE applicability for JavaScript targets.</t>
        </is>
      </c>
      <c r="J90" s="70" t="inlineStr">
        <is>
          <t>https://arxiv.org/abs/2506.04962</t>
        </is>
      </c>
      <c r="K90" s="71" t="inlineStr">
        <is>
          <t>Write your notes here…</t>
        </is>
      </c>
    </row>
    <row r="92">
      <c r="A92" s="72" t="inlineStr">
        <is>
          <t>Read Status:  Unread (gray) — not yet read  ·  Reading (amber) — in progress  ·  Read (blue) — finished  ·  Reviewed (green) — literature review written  ·  Filter tip: click ▾ on Category or Tags header to filter by research area</t>
        </is>
      </c>
    </row>
  </sheetData>
  <autoFilter ref="A4:K90"/>
  <mergeCells count="3">
    <mergeCell ref="A2:K2"/>
    <mergeCell ref="A1:K1"/>
    <mergeCell ref="A92:K92"/>
  </mergeCells>
  <dataValidations count="1">
    <dataValidation sqref="H5:H90" showDropDown="0" showInputMessage="0" showErrorMessage="1" allowBlank="0" errorTitle="Invalid value" error="Choose: Unread, Reading, Read, or Reviewed" type="list">
      <formula1>"Unread,Reading,Read,Reviewed"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2026-06-12T02:35:35Z</dcterms:created>
  <dcterms:modified xmlns:dcterms="http://purl.org/dc/terms/" xmlns:xsi="http://www.w3.org/2001/XMLSchema-instance" xsi:type="dcterms:W3CDTF">2026-06-12T02:35:35Z</dcterms:modified>
</cp:coreProperties>
</file>